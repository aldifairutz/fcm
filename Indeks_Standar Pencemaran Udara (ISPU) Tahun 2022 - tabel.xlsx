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ALDI_5A-Matematic AI_UAS\"/>
    </mc:Choice>
  </mc:AlternateContent>
  <xr:revisionPtr revIDLastSave="0" documentId="13_ncr:1_{415A218F-2895-417E-AED6-276701ABE03E}" xr6:coauthVersionLast="47" xr6:coauthVersionMax="47" xr10:uidLastSave="{00000000-0000-0000-0000-000000000000}"/>
  <bookViews>
    <workbookView xWindow="-108" yWindow="-108" windowWidth="23256" windowHeight="13176" activeTab="4" xr2:uid="{B0917EE2-B644-4813-A780-6B3BC8515A8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2" l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2" i="2"/>
  <c r="AG3" i="3"/>
  <c r="AG4" i="3"/>
  <c r="AG5" i="3"/>
  <c r="AG6" i="3"/>
  <c r="AG7" i="3"/>
  <c r="AG8" i="3"/>
  <c r="AG9" i="3"/>
  <c r="AG101" i="3" s="1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C99" i="1"/>
  <c r="W14" i="1"/>
  <c r="Y14" i="1" s="1"/>
  <c r="W16" i="1"/>
  <c r="W18" i="1"/>
  <c r="Y18" i="1" s="1"/>
  <c r="W21" i="1"/>
  <c r="W22" i="1"/>
  <c r="Y22" i="1" s="1"/>
  <c r="W23" i="1"/>
  <c r="W24" i="1"/>
  <c r="W25" i="1"/>
  <c r="W26" i="1"/>
  <c r="Y26" i="1" s="1"/>
  <c r="W27" i="1"/>
  <c r="W29" i="1"/>
  <c r="X30" i="1"/>
  <c r="W31" i="1"/>
  <c r="W32" i="1"/>
  <c r="W33" i="1"/>
  <c r="X34" i="1"/>
  <c r="X38" i="1"/>
  <c r="W39" i="1"/>
  <c r="W41" i="1"/>
  <c r="W42" i="1"/>
  <c r="Y42" i="1" s="1"/>
  <c r="W43" i="1"/>
  <c r="X46" i="1"/>
  <c r="W48" i="1"/>
  <c r="W49" i="1"/>
  <c r="X50" i="1"/>
  <c r="X54" i="1"/>
  <c r="W55" i="1"/>
  <c r="W56" i="1"/>
  <c r="W57" i="1"/>
  <c r="W58" i="1"/>
  <c r="Y58" i="1" s="1"/>
  <c r="X62" i="1"/>
  <c r="W63" i="1"/>
  <c r="W64" i="1"/>
  <c r="W65" i="1"/>
  <c r="W66" i="1"/>
  <c r="Y66" i="1" s="1"/>
  <c r="W67" i="1"/>
  <c r="W70" i="1"/>
  <c r="Y70" i="1" s="1"/>
  <c r="W71" i="1"/>
  <c r="W72" i="1"/>
  <c r="W73" i="1"/>
  <c r="W74" i="1"/>
  <c r="Y74" i="1" s="1"/>
  <c r="W75" i="1"/>
  <c r="W76" i="1"/>
  <c r="W78" i="1"/>
  <c r="Y78" i="1" s="1"/>
  <c r="W80" i="1"/>
  <c r="W81" i="1"/>
  <c r="W82" i="1"/>
  <c r="Y82" i="1" s="1"/>
  <c r="W83" i="1"/>
  <c r="W84" i="1"/>
  <c r="W85" i="1"/>
  <c r="W86" i="1"/>
  <c r="Y86" i="1" s="1"/>
  <c r="W88" i="1"/>
  <c r="W89" i="1"/>
  <c r="W90" i="1"/>
  <c r="Y90" i="1" s="1"/>
  <c r="W92" i="1"/>
  <c r="W93" i="1"/>
  <c r="W94" i="1"/>
  <c r="Y94" i="1" s="1"/>
  <c r="W95" i="1"/>
  <c r="W96" i="1"/>
  <c r="W97" i="1"/>
  <c r="X98" i="1"/>
  <c r="W4" i="1"/>
  <c r="W5" i="1"/>
  <c r="W7" i="1"/>
  <c r="W8" i="1"/>
  <c r="W9" i="1"/>
  <c r="W10" i="1"/>
  <c r="W11" i="1"/>
  <c r="Y11" i="1" s="1"/>
  <c r="W12" i="1"/>
  <c r="W13" i="1"/>
  <c r="W6" i="1"/>
  <c r="AG2" i="3"/>
  <c r="AE101" i="5"/>
  <c r="AD99" i="4"/>
  <c r="AD99" i="3"/>
  <c r="Y3" i="4"/>
  <c r="Y4" i="4"/>
  <c r="Y5" i="4"/>
  <c r="Y6" i="4"/>
  <c r="Y7" i="4"/>
  <c r="Y2" i="4"/>
  <c r="Y2" i="5"/>
  <c r="X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2" i="5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2" i="4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2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P2" i="3"/>
  <c r="P98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2" i="3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2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3" i="2"/>
  <c r="O4" i="2"/>
  <c r="O5" i="2"/>
  <c r="O6" i="2"/>
  <c r="O7" i="2"/>
  <c r="O8" i="2"/>
  <c r="O2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3" i="2"/>
  <c r="N4" i="2"/>
  <c r="N5" i="2"/>
  <c r="N6" i="2"/>
  <c r="N7" i="2"/>
  <c r="N2" i="2"/>
  <c r="S3" i="1"/>
  <c r="S4" i="1"/>
  <c r="S5" i="1"/>
  <c r="S6" i="1"/>
  <c r="S102" i="1" s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2" i="1"/>
  <c r="R102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2" i="1"/>
  <c r="Q102" i="1" s="1"/>
  <c r="P3" i="1"/>
  <c r="T3" i="1" s="1"/>
  <c r="P4" i="1"/>
  <c r="P5" i="1"/>
  <c r="P6" i="1"/>
  <c r="P7" i="1"/>
  <c r="P8" i="1"/>
  <c r="P9" i="1"/>
  <c r="P10" i="1"/>
  <c r="P11" i="1"/>
  <c r="T11" i="1" s="1"/>
  <c r="P12" i="1"/>
  <c r="P13" i="1"/>
  <c r="P14" i="1"/>
  <c r="P15" i="1"/>
  <c r="P16" i="1"/>
  <c r="P17" i="1"/>
  <c r="P18" i="1"/>
  <c r="P19" i="1"/>
  <c r="T19" i="1" s="1"/>
  <c r="P20" i="1"/>
  <c r="P21" i="1"/>
  <c r="P22" i="1"/>
  <c r="P23" i="1"/>
  <c r="P24" i="1"/>
  <c r="P25" i="1"/>
  <c r="P26" i="1"/>
  <c r="P27" i="1"/>
  <c r="T27" i="1" s="1"/>
  <c r="P28" i="1"/>
  <c r="P29" i="1"/>
  <c r="P30" i="1"/>
  <c r="P31" i="1"/>
  <c r="P32" i="1"/>
  <c r="P33" i="1"/>
  <c r="P34" i="1"/>
  <c r="P35" i="1"/>
  <c r="T35" i="1" s="1"/>
  <c r="P36" i="1"/>
  <c r="P37" i="1"/>
  <c r="P38" i="1"/>
  <c r="P39" i="1"/>
  <c r="P40" i="1"/>
  <c r="P41" i="1"/>
  <c r="P42" i="1"/>
  <c r="P43" i="1"/>
  <c r="T43" i="1" s="1"/>
  <c r="P44" i="1"/>
  <c r="P45" i="1"/>
  <c r="P46" i="1"/>
  <c r="P47" i="1"/>
  <c r="P48" i="1"/>
  <c r="P49" i="1"/>
  <c r="P50" i="1"/>
  <c r="P51" i="1"/>
  <c r="T51" i="1" s="1"/>
  <c r="P52" i="1"/>
  <c r="P53" i="1"/>
  <c r="P54" i="1"/>
  <c r="P55" i="1"/>
  <c r="P56" i="1"/>
  <c r="P57" i="1"/>
  <c r="P58" i="1"/>
  <c r="P59" i="1"/>
  <c r="T59" i="1" s="1"/>
  <c r="P60" i="1"/>
  <c r="P61" i="1"/>
  <c r="P62" i="1"/>
  <c r="P63" i="1"/>
  <c r="P64" i="1"/>
  <c r="P65" i="1"/>
  <c r="P66" i="1"/>
  <c r="P67" i="1"/>
  <c r="T67" i="1" s="1"/>
  <c r="P68" i="1"/>
  <c r="P69" i="1"/>
  <c r="P70" i="1"/>
  <c r="P71" i="1"/>
  <c r="P72" i="1"/>
  <c r="P73" i="1"/>
  <c r="P74" i="1"/>
  <c r="P75" i="1"/>
  <c r="T75" i="1" s="1"/>
  <c r="P76" i="1"/>
  <c r="P77" i="1"/>
  <c r="P78" i="1"/>
  <c r="P79" i="1"/>
  <c r="P80" i="1"/>
  <c r="P81" i="1"/>
  <c r="P82" i="1"/>
  <c r="P83" i="1"/>
  <c r="T83" i="1" s="1"/>
  <c r="P84" i="1"/>
  <c r="P85" i="1"/>
  <c r="P86" i="1"/>
  <c r="P87" i="1"/>
  <c r="P88" i="1"/>
  <c r="P89" i="1"/>
  <c r="P90" i="1"/>
  <c r="P91" i="1"/>
  <c r="T91" i="1" s="1"/>
  <c r="P92" i="1"/>
  <c r="P93" i="1"/>
  <c r="P94" i="1"/>
  <c r="P95" i="1"/>
  <c r="P96" i="1"/>
  <c r="P97" i="1"/>
  <c r="P98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N26" i="1"/>
  <c r="T26" i="1" s="1"/>
  <c r="N27" i="1"/>
  <c r="N28" i="1"/>
  <c r="N29" i="1"/>
  <c r="N30" i="1"/>
  <c r="T30" i="1" s="1"/>
  <c r="N31" i="1"/>
  <c r="N32" i="1"/>
  <c r="N33" i="1"/>
  <c r="N34" i="1"/>
  <c r="T34" i="1" s="1"/>
  <c r="N35" i="1"/>
  <c r="X35" i="1" s="1"/>
  <c r="N36" i="1"/>
  <c r="N37" i="1"/>
  <c r="N38" i="1"/>
  <c r="T38" i="1" s="1"/>
  <c r="N39" i="1"/>
  <c r="T39" i="1" s="1"/>
  <c r="N40" i="1"/>
  <c r="N41" i="1"/>
  <c r="N42" i="1"/>
  <c r="T42" i="1" s="1"/>
  <c r="N43" i="1"/>
  <c r="N44" i="1"/>
  <c r="N45" i="1"/>
  <c r="N46" i="1"/>
  <c r="T46" i="1" s="1"/>
  <c r="N47" i="1"/>
  <c r="N48" i="1"/>
  <c r="N49" i="1"/>
  <c r="N50" i="1"/>
  <c r="T50" i="1" s="1"/>
  <c r="N51" i="1"/>
  <c r="X51" i="1" s="1"/>
  <c r="N52" i="1"/>
  <c r="N53" i="1"/>
  <c r="N54" i="1"/>
  <c r="T54" i="1" s="1"/>
  <c r="N55" i="1"/>
  <c r="T55" i="1" s="1"/>
  <c r="N56" i="1"/>
  <c r="N57" i="1"/>
  <c r="N58" i="1"/>
  <c r="N59" i="1"/>
  <c r="X59" i="1" s="1"/>
  <c r="N60" i="1"/>
  <c r="N61" i="1"/>
  <c r="N62" i="1"/>
  <c r="T62" i="1" s="1"/>
  <c r="N63" i="1"/>
  <c r="N64" i="1"/>
  <c r="N65" i="1"/>
  <c r="N66" i="1"/>
  <c r="N67" i="1"/>
  <c r="N68" i="1"/>
  <c r="N69" i="1"/>
  <c r="N70" i="1"/>
  <c r="T70" i="1" s="1"/>
  <c r="N71" i="1"/>
  <c r="T71" i="1" s="1"/>
  <c r="N72" i="1"/>
  <c r="N73" i="1"/>
  <c r="N74" i="1"/>
  <c r="N75" i="1"/>
  <c r="N76" i="1"/>
  <c r="T76" i="1" s="1"/>
  <c r="N77" i="1"/>
  <c r="N78" i="1"/>
  <c r="T78" i="1" s="1"/>
  <c r="N79" i="1"/>
  <c r="N80" i="1"/>
  <c r="N81" i="1"/>
  <c r="N82" i="1"/>
  <c r="N83" i="1"/>
  <c r="N84" i="1"/>
  <c r="T84" i="1" s="1"/>
  <c r="N85" i="1"/>
  <c r="N86" i="1"/>
  <c r="T86" i="1" s="1"/>
  <c r="N87" i="1"/>
  <c r="N88" i="1"/>
  <c r="N89" i="1"/>
  <c r="N90" i="1"/>
  <c r="N91" i="1"/>
  <c r="X91" i="1" s="1"/>
  <c r="N92" i="1"/>
  <c r="T92" i="1" s="1"/>
  <c r="N93" i="1"/>
  <c r="N94" i="1"/>
  <c r="T94" i="1" s="1"/>
  <c r="N95" i="1"/>
  <c r="N96" i="1"/>
  <c r="N97" i="1"/>
  <c r="N98" i="1"/>
  <c r="N3" i="1"/>
  <c r="X3" i="1" s="1"/>
  <c r="N4" i="1"/>
  <c r="T4" i="1" s="1"/>
  <c r="N5" i="1"/>
  <c r="N6" i="1"/>
  <c r="T6" i="1" s="1"/>
  <c r="N7" i="1"/>
  <c r="T7" i="1" s="1"/>
  <c r="N8" i="1"/>
  <c r="N9" i="1"/>
  <c r="N10" i="1"/>
  <c r="T10" i="1" s="1"/>
  <c r="N11" i="1"/>
  <c r="N12" i="1"/>
  <c r="T12" i="1" s="1"/>
  <c r="N13" i="1"/>
  <c r="N14" i="1"/>
  <c r="T14" i="1" s="1"/>
  <c r="N15" i="1"/>
  <c r="N16" i="1"/>
  <c r="N17" i="1"/>
  <c r="X17" i="1" s="1"/>
  <c r="N18" i="1"/>
  <c r="T18" i="1" s="1"/>
  <c r="N19" i="1"/>
  <c r="X19" i="1" s="1"/>
  <c r="N20" i="1"/>
  <c r="N21" i="1"/>
  <c r="N22" i="1"/>
  <c r="T22" i="1" s="1"/>
  <c r="N23" i="1"/>
  <c r="T23" i="1" s="1"/>
  <c r="N24" i="1"/>
  <c r="N25" i="1"/>
  <c r="N2" i="1"/>
  <c r="Z5" i="5"/>
  <c r="Z6" i="5"/>
  <c r="Z7" i="5"/>
  <c r="Z8" i="5"/>
  <c r="Z9" i="5"/>
  <c r="Z13" i="5"/>
  <c r="Z14" i="5"/>
  <c r="Z15" i="5"/>
  <c r="Z16" i="5"/>
  <c r="Z17" i="5"/>
  <c r="AG99" i="5"/>
  <c r="AF99" i="5"/>
  <c r="AA68" i="5"/>
  <c r="AA69" i="5"/>
  <c r="Z18" i="5"/>
  <c r="Z19" i="5"/>
  <c r="Z20" i="5"/>
  <c r="Z21" i="5"/>
  <c r="Z22" i="5"/>
  <c r="Z25" i="5"/>
  <c r="Z26" i="5"/>
  <c r="Z27" i="5"/>
  <c r="Z28" i="5"/>
  <c r="Z29" i="5"/>
  <c r="Z30" i="5"/>
  <c r="Z33" i="5"/>
  <c r="Z34" i="5"/>
  <c r="Z35" i="5"/>
  <c r="Z36" i="5"/>
  <c r="Z37" i="5"/>
  <c r="Z38" i="5"/>
  <c r="Z41" i="5"/>
  <c r="Z42" i="5"/>
  <c r="Z43" i="5"/>
  <c r="Z44" i="5"/>
  <c r="Z45" i="5"/>
  <c r="Z46" i="5"/>
  <c r="Z49" i="5"/>
  <c r="Z50" i="5"/>
  <c r="Z51" i="5"/>
  <c r="Z52" i="5"/>
  <c r="Z53" i="5"/>
  <c r="Z54" i="5"/>
  <c r="Z57" i="5"/>
  <c r="Z58" i="5"/>
  <c r="Z59" i="5"/>
  <c r="Z60" i="5"/>
  <c r="Z61" i="5"/>
  <c r="Z62" i="5"/>
  <c r="Z65" i="5"/>
  <c r="Z66" i="5"/>
  <c r="Z67" i="5"/>
  <c r="Z68" i="5"/>
  <c r="Z69" i="5"/>
  <c r="Z70" i="5"/>
  <c r="Z73" i="5"/>
  <c r="Z74" i="5"/>
  <c r="Z75" i="5"/>
  <c r="Z76" i="5"/>
  <c r="Z77" i="5"/>
  <c r="Z78" i="5"/>
  <c r="Z81" i="5"/>
  <c r="Z82" i="5"/>
  <c r="Z83" i="5"/>
  <c r="Z84" i="5"/>
  <c r="Z85" i="5"/>
  <c r="Z86" i="5"/>
  <c r="Z89" i="5"/>
  <c r="Z90" i="5"/>
  <c r="Z91" i="5"/>
  <c r="Z92" i="5"/>
  <c r="Z93" i="5"/>
  <c r="Z94" i="5"/>
  <c r="Z97" i="5"/>
  <c r="Z98" i="5"/>
  <c r="Z2" i="5"/>
  <c r="C103" i="5"/>
  <c r="AA4" i="5" s="1"/>
  <c r="C102" i="5"/>
  <c r="Z10" i="5" s="1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3" i="5"/>
  <c r="Y4" i="5"/>
  <c r="Y5" i="5"/>
  <c r="Y6" i="5"/>
  <c r="Y7" i="5"/>
  <c r="Y8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2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3" i="5"/>
  <c r="V4" i="5"/>
  <c r="V5" i="5"/>
  <c r="V6" i="5"/>
  <c r="V7" i="5"/>
  <c r="V8" i="5"/>
  <c r="V9" i="5"/>
  <c r="V10" i="5"/>
  <c r="V11" i="5"/>
  <c r="V12" i="5"/>
  <c r="V13" i="5"/>
  <c r="V2" i="5"/>
  <c r="AG101" i="4"/>
  <c r="AG3" i="4"/>
  <c r="AG4" i="4"/>
  <c r="AG5" i="4"/>
  <c r="AG6" i="4"/>
  <c r="AG7" i="4"/>
  <c r="AG8" i="4"/>
  <c r="AG9" i="4"/>
  <c r="AG10" i="4"/>
  <c r="AG11" i="4"/>
  <c r="AG12" i="4"/>
  <c r="AG13" i="4"/>
  <c r="AG14" i="4"/>
  <c r="AG2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2" i="4"/>
  <c r="AD3" i="4"/>
  <c r="AD4" i="4"/>
  <c r="AD5" i="4"/>
  <c r="AD6" i="4"/>
  <c r="AD7" i="4"/>
  <c r="AD8" i="4"/>
  <c r="AD9" i="4"/>
  <c r="AD10" i="4"/>
  <c r="AD11" i="4"/>
  <c r="AD12" i="4"/>
  <c r="AD13" i="4"/>
  <c r="AD14" i="4"/>
  <c r="AB6" i="4"/>
  <c r="AB7" i="4"/>
  <c r="AB8" i="4"/>
  <c r="AB9" i="4"/>
  <c r="AB10" i="4"/>
  <c r="AB11" i="4"/>
  <c r="AB12" i="4"/>
  <c r="AB13" i="4"/>
  <c r="AC13" i="4" s="1"/>
  <c r="AB14" i="4"/>
  <c r="AB3" i="4"/>
  <c r="AB4" i="4"/>
  <c r="AB5" i="4"/>
  <c r="AB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C25" i="4" s="1"/>
  <c r="AA26" i="4"/>
  <c r="AA27" i="4"/>
  <c r="AA28" i="4"/>
  <c r="AA29" i="4"/>
  <c r="AA30" i="4"/>
  <c r="AA31" i="4"/>
  <c r="AA32" i="4"/>
  <c r="AA33" i="4"/>
  <c r="AC33" i="4" s="1"/>
  <c r="AA34" i="4"/>
  <c r="AA35" i="4"/>
  <c r="AA36" i="4"/>
  <c r="AA37" i="4"/>
  <c r="AA38" i="4"/>
  <c r="AA39" i="4"/>
  <c r="AA40" i="4"/>
  <c r="AA41" i="4"/>
  <c r="AC41" i="4" s="1"/>
  <c r="AA42" i="4"/>
  <c r="AA43" i="4"/>
  <c r="AA44" i="4"/>
  <c r="AA45" i="4"/>
  <c r="AA46" i="4"/>
  <c r="AA47" i="4"/>
  <c r="AA48" i="4"/>
  <c r="AA49" i="4"/>
  <c r="AC49" i="4" s="1"/>
  <c r="AA50" i="4"/>
  <c r="AA51" i="4"/>
  <c r="AA52" i="4"/>
  <c r="AA53" i="4"/>
  <c r="AA54" i="4"/>
  <c r="AA55" i="4"/>
  <c r="AA56" i="4"/>
  <c r="AA57" i="4"/>
  <c r="AC57" i="4" s="1"/>
  <c r="AA58" i="4"/>
  <c r="AA59" i="4"/>
  <c r="AA60" i="4"/>
  <c r="AA61" i="4"/>
  <c r="AA62" i="4"/>
  <c r="AA63" i="4"/>
  <c r="AA64" i="4"/>
  <c r="AC64" i="4" s="1"/>
  <c r="AA65" i="4"/>
  <c r="AC65" i="4" s="1"/>
  <c r="AA66" i="4"/>
  <c r="AA67" i="4"/>
  <c r="AA68" i="4"/>
  <c r="AA69" i="4"/>
  <c r="AA70" i="4"/>
  <c r="AA71" i="4"/>
  <c r="AA72" i="4"/>
  <c r="AC72" i="4" s="1"/>
  <c r="AA73" i="4"/>
  <c r="AC73" i="4" s="1"/>
  <c r="AA74" i="4"/>
  <c r="AA75" i="4"/>
  <c r="AA76" i="4"/>
  <c r="AA77" i="4"/>
  <c r="AA78" i="4"/>
  <c r="AA79" i="4"/>
  <c r="AA80" i="4"/>
  <c r="AC80" i="4" s="1"/>
  <c r="AA81" i="4"/>
  <c r="AC81" i="4" s="1"/>
  <c r="AA82" i="4"/>
  <c r="AA83" i="4"/>
  <c r="AA84" i="4"/>
  <c r="AA85" i="4"/>
  <c r="AA86" i="4"/>
  <c r="AA87" i="4"/>
  <c r="AA88" i="4"/>
  <c r="AC88" i="4" s="1"/>
  <c r="AA89" i="4"/>
  <c r="AC89" i="4" s="1"/>
  <c r="AA90" i="4"/>
  <c r="AA91" i="4"/>
  <c r="AA92" i="4"/>
  <c r="AA93" i="4"/>
  <c r="AA94" i="4"/>
  <c r="AA95" i="4"/>
  <c r="AA96" i="4"/>
  <c r="AC96" i="4" s="1"/>
  <c r="AA97" i="4"/>
  <c r="AC97" i="4" s="1"/>
  <c r="AA98" i="4"/>
  <c r="AA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AB80" i="4" s="1"/>
  <c r="AD80" i="4" s="1"/>
  <c r="Z81" i="4"/>
  <c r="Z82" i="4"/>
  <c r="Z83" i="4"/>
  <c r="Z84" i="4"/>
  <c r="Z85" i="4"/>
  <c r="Z86" i="4"/>
  <c r="Z87" i="4"/>
  <c r="Z88" i="4"/>
  <c r="AB88" i="4" s="1"/>
  <c r="AD88" i="4" s="1"/>
  <c r="Z89" i="4"/>
  <c r="Z90" i="4"/>
  <c r="Z91" i="4"/>
  <c r="Z92" i="4"/>
  <c r="Z93" i="4"/>
  <c r="Z94" i="4"/>
  <c r="Z95" i="4"/>
  <c r="Z96" i="4"/>
  <c r="AB96" i="4" s="1"/>
  <c r="AD96" i="4" s="1"/>
  <c r="Z97" i="4"/>
  <c r="Z98" i="4"/>
  <c r="Z2" i="4"/>
  <c r="AC4" i="4"/>
  <c r="AC5" i="4"/>
  <c r="AC6" i="4"/>
  <c r="AC7" i="4"/>
  <c r="AC8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2" i="4"/>
  <c r="AC24" i="4"/>
  <c r="AC26" i="4"/>
  <c r="AC27" i="4"/>
  <c r="AC28" i="4"/>
  <c r="AC29" i="4"/>
  <c r="AC30" i="4"/>
  <c r="AC31" i="4"/>
  <c r="AC32" i="4"/>
  <c r="AC34" i="4"/>
  <c r="AC35" i="4"/>
  <c r="AC36" i="4"/>
  <c r="AC37" i="4"/>
  <c r="AC38" i="4"/>
  <c r="AC39" i="4"/>
  <c r="AC40" i="4"/>
  <c r="AC42" i="4"/>
  <c r="AC43" i="4"/>
  <c r="AC44" i="4"/>
  <c r="AC45" i="4"/>
  <c r="AC46" i="4"/>
  <c r="AC47" i="4"/>
  <c r="AC48" i="4"/>
  <c r="AC50" i="4"/>
  <c r="AC51" i="4"/>
  <c r="AC52" i="4"/>
  <c r="AC53" i="4"/>
  <c r="AC54" i="4"/>
  <c r="AC55" i="4"/>
  <c r="AC56" i="4"/>
  <c r="AC58" i="4"/>
  <c r="AC59" i="4"/>
  <c r="AC60" i="4"/>
  <c r="AC61" i="4"/>
  <c r="AC62" i="4"/>
  <c r="AC63" i="4"/>
  <c r="AC66" i="4"/>
  <c r="AC67" i="4"/>
  <c r="AC68" i="4"/>
  <c r="AC69" i="4"/>
  <c r="AC70" i="4"/>
  <c r="AC71" i="4"/>
  <c r="AC74" i="4"/>
  <c r="AC75" i="4"/>
  <c r="AC76" i="4"/>
  <c r="AC77" i="4"/>
  <c r="AC78" i="4"/>
  <c r="AC79" i="4"/>
  <c r="AC82" i="4"/>
  <c r="AC83" i="4"/>
  <c r="AC84" i="4"/>
  <c r="AC85" i="4"/>
  <c r="AC86" i="4"/>
  <c r="AC87" i="4"/>
  <c r="AC90" i="4"/>
  <c r="AC91" i="4"/>
  <c r="AC92" i="4"/>
  <c r="AC93" i="4"/>
  <c r="AC94" i="4"/>
  <c r="AC95" i="4"/>
  <c r="AC98" i="4"/>
  <c r="AC14" i="4"/>
  <c r="AB15" i="4"/>
  <c r="AD15" i="4" s="1"/>
  <c r="AB16" i="4"/>
  <c r="AD16" i="4" s="1"/>
  <c r="AB18" i="4"/>
  <c r="AC18" i="4" s="1"/>
  <c r="AB19" i="4"/>
  <c r="AD19" i="4" s="1"/>
  <c r="AB20" i="4"/>
  <c r="AD20" i="4" s="1"/>
  <c r="AB21" i="4"/>
  <c r="AD21" i="4" s="1"/>
  <c r="AB22" i="4"/>
  <c r="AD22" i="4" s="1"/>
  <c r="AB23" i="4"/>
  <c r="AD23" i="4" s="1"/>
  <c r="AB24" i="4"/>
  <c r="AD24" i="4" s="1"/>
  <c r="AB26" i="4"/>
  <c r="AD26" i="4" s="1"/>
  <c r="AB27" i="4"/>
  <c r="AD27" i="4" s="1"/>
  <c r="AB28" i="4"/>
  <c r="AD28" i="4" s="1"/>
  <c r="AB29" i="4"/>
  <c r="AD29" i="4" s="1"/>
  <c r="AB30" i="4"/>
  <c r="AD30" i="4" s="1"/>
  <c r="AB31" i="4"/>
  <c r="AD31" i="4" s="1"/>
  <c r="AB32" i="4"/>
  <c r="AD32" i="4" s="1"/>
  <c r="AB34" i="4"/>
  <c r="AD34" i="4" s="1"/>
  <c r="AB35" i="4"/>
  <c r="AD35" i="4" s="1"/>
  <c r="AB36" i="4"/>
  <c r="AD36" i="4" s="1"/>
  <c r="AB37" i="4"/>
  <c r="AD37" i="4" s="1"/>
  <c r="AB38" i="4"/>
  <c r="AD38" i="4" s="1"/>
  <c r="AB39" i="4"/>
  <c r="AD39" i="4" s="1"/>
  <c r="AB40" i="4"/>
  <c r="AD40" i="4" s="1"/>
  <c r="AB42" i="4"/>
  <c r="AD42" i="4" s="1"/>
  <c r="AB43" i="4"/>
  <c r="AD43" i="4" s="1"/>
  <c r="AB44" i="4"/>
  <c r="AD44" i="4" s="1"/>
  <c r="AB45" i="4"/>
  <c r="AD45" i="4" s="1"/>
  <c r="AB46" i="4"/>
  <c r="AD46" i="4" s="1"/>
  <c r="AB47" i="4"/>
  <c r="AD47" i="4" s="1"/>
  <c r="AB48" i="4"/>
  <c r="AD48" i="4" s="1"/>
  <c r="AB50" i="4"/>
  <c r="AD50" i="4" s="1"/>
  <c r="AB51" i="4"/>
  <c r="AD51" i="4" s="1"/>
  <c r="AB52" i="4"/>
  <c r="AD52" i="4" s="1"/>
  <c r="AB53" i="4"/>
  <c r="AD53" i="4" s="1"/>
  <c r="AB54" i="4"/>
  <c r="AD54" i="4" s="1"/>
  <c r="AB55" i="4"/>
  <c r="AD55" i="4" s="1"/>
  <c r="AB56" i="4"/>
  <c r="AD56" i="4" s="1"/>
  <c r="AB58" i="4"/>
  <c r="AD58" i="4" s="1"/>
  <c r="AB59" i="4"/>
  <c r="AD59" i="4" s="1"/>
  <c r="AB60" i="4"/>
  <c r="AD60" i="4" s="1"/>
  <c r="AB61" i="4"/>
  <c r="AD61" i="4" s="1"/>
  <c r="AB62" i="4"/>
  <c r="AD62" i="4" s="1"/>
  <c r="AB63" i="4"/>
  <c r="AD63" i="4" s="1"/>
  <c r="AB64" i="4"/>
  <c r="AD64" i="4" s="1"/>
  <c r="AB66" i="4"/>
  <c r="AD66" i="4" s="1"/>
  <c r="AB67" i="4"/>
  <c r="AD67" i="4" s="1"/>
  <c r="AB68" i="4"/>
  <c r="AD68" i="4" s="1"/>
  <c r="AB69" i="4"/>
  <c r="AD69" i="4" s="1"/>
  <c r="AB70" i="4"/>
  <c r="AD70" i="4" s="1"/>
  <c r="AB71" i="4"/>
  <c r="AD71" i="4" s="1"/>
  <c r="AB72" i="4"/>
  <c r="AD72" i="4" s="1"/>
  <c r="AB74" i="4"/>
  <c r="AD74" i="4" s="1"/>
  <c r="AB75" i="4"/>
  <c r="AD75" i="4" s="1"/>
  <c r="AB76" i="4"/>
  <c r="AD76" i="4" s="1"/>
  <c r="AB77" i="4"/>
  <c r="AD77" i="4" s="1"/>
  <c r="AB78" i="4"/>
  <c r="AD78" i="4" s="1"/>
  <c r="AB79" i="4"/>
  <c r="AD79" i="4" s="1"/>
  <c r="AB82" i="4"/>
  <c r="AD82" i="4" s="1"/>
  <c r="AB83" i="4"/>
  <c r="AD83" i="4" s="1"/>
  <c r="AB84" i="4"/>
  <c r="AD84" i="4" s="1"/>
  <c r="AB85" i="4"/>
  <c r="AD85" i="4" s="1"/>
  <c r="AB86" i="4"/>
  <c r="AD86" i="4" s="1"/>
  <c r="AB87" i="4"/>
  <c r="AD87" i="4" s="1"/>
  <c r="AB90" i="4"/>
  <c r="AD90" i="4" s="1"/>
  <c r="AB91" i="4"/>
  <c r="AD91" i="4" s="1"/>
  <c r="AB92" i="4"/>
  <c r="AD92" i="4" s="1"/>
  <c r="AB93" i="4"/>
  <c r="AD93" i="4" s="1"/>
  <c r="AB94" i="4"/>
  <c r="AD94" i="4" s="1"/>
  <c r="AB95" i="4"/>
  <c r="AD95" i="4" s="1"/>
  <c r="AB98" i="4"/>
  <c r="AD98" i="4" s="1"/>
  <c r="V11" i="4"/>
  <c r="V12" i="4"/>
  <c r="V13" i="4"/>
  <c r="V3" i="4"/>
  <c r="V4" i="4"/>
  <c r="V5" i="4"/>
  <c r="V6" i="4"/>
  <c r="V7" i="4"/>
  <c r="V8" i="4"/>
  <c r="V9" i="4"/>
  <c r="V10" i="4"/>
  <c r="V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2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AG99" i="4"/>
  <c r="AF99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2" i="3"/>
  <c r="AG97" i="2"/>
  <c r="AG98" i="2"/>
  <c r="AF98" i="2"/>
  <c r="AB6" i="3"/>
  <c r="AB14" i="3"/>
  <c r="AB22" i="3"/>
  <c r="AB30" i="3"/>
  <c r="AB38" i="3"/>
  <c r="AB46" i="3"/>
  <c r="AB54" i="3"/>
  <c r="AB62" i="3"/>
  <c r="AB70" i="3"/>
  <c r="AB78" i="3"/>
  <c r="AB86" i="3"/>
  <c r="AB94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2" i="3"/>
  <c r="Z3" i="3"/>
  <c r="AB3" i="3" s="1"/>
  <c r="Z4" i="3"/>
  <c r="AB4" i="3" s="1"/>
  <c r="Z5" i="3"/>
  <c r="AB5" i="3" s="1"/>
  <c r="Z6" i="3"/>
  <c r="Z7" i="3"/>
  <c r="AB7" i="3" s="1"/>
  <c r="Z8" i="3"/>
  <c r="AB8" i="3" s="1"/>
  <c r="Z9" i="3"/>
  <c r="AB9" i="3" s="1"/>
  <c r="Z10" i="3"/>
  <c r="AB10" i="3" s="1"/>
  <c r="Z11" i="3"/>
  <c r="AB11" i="3" s="1"/>
  <c r="Z12" i="3"/>
  <c r="AB12" i="3" s="1"/>
  <c r="Z13" i="3"/>
  <c r="AB13" i="3" s="1"/>
  <c r="Z14" i="3"/>
  <c r="Z15" i="3"/>
  <c r="AB15" i="3" s="1"/>
  <c r="Z16" i="3"/>
  <c r="AB16" i="3" s="1"/>
  <c r="Z17" i="3"/>
  <c r="AB17" i="3" s="1"/>
  <c r="Z18" i="3"/>
  <c r="AB18" i="3" s="1"/>
  <c r="Z19" i="3"/>
  <c r="AB19" i="3" s="1"/>
  <c r="Z20" i="3"/>
  <c r="AB20" i="3" s="1"/>
  <c r="Z21" i="3"/>
  <c r="AB21" i="3" s="1"/>
  <c r="Z22" i="3"/>
  <c r="Z23" i="3"/>
  <c r="AB23" i="3" s="1"/>
  <c r="Z24" i="3"/>
  <c r="AB24" i="3" s="1"/>
  <c r="Z25" i="3"/>
  <c r="AB25" i="3" s="1"/>
  <c r="Z26" i="3"/>
  <c r="AB26" i="3" s="1"/>
  <c r="Z27" i="3"/>
  <c r="AB27" i="3" s="1"/>
  <c r="Z28" i="3"/>
  <c r="AB28" i="3" s="1"/>
  <c r="Z29" i="3"/>
  <c r="AB29" i="3" s="1"/>
  <c r="Z30" i="3"/>
  <c r="Z31" i="3"/>
  <c r="AB31" i="3" s="1"/>
  <c r="Z32" i="3"/>
  <c r="AB32" i="3" s="1"/>
  <c r="Z33" i="3"/>
  <c r="AB33" i="3" s="1"/>
  <c r="Z34" i="3"/>
  <c r="AB34" i="3" s="1"/>
  <c r="Z35" i="3"/>
  <c r="AB35" i="3" s="1"/>
  <c r="Z36" i="3"/>
  <c r="AB36" i="3" s="1"/>
  <c r="Z37" i="3"/>
  <c r="AB37" i="3" s="1"/>
  <c r="Z38" i="3"/>
  <c r="Z39" i="3"/>
  <c r="AB39" i="3" s="1"/>
  <c r="Z40" i="3"/>
  <c r="AB40" i="3" s="1"/>
  <c r="Z41" i="3"/>
  <c r="AB41" i="3" s="1"/>
  <c r="Z42" i="3"/>
  <c r="AB42" i="3" s="1"/>
  <c r="Z43" i="3"/>
  <c r="AB43" i="3" s="1"/>
  <c r="Z44" i="3"/>
  <c r="AB44" i="3" s="1"/>
  <c r="Z45" i="3"/>
  <c r="AB45" i="3" s="1"/>
  <c r="Z46" i="3"/>
  <c r="Z47" i="3"/>
  <c r="AB47" i="3" s="1"/>
  <c r="Z48" i="3"/>
  <c r="AB48" i="3" s="1"/>
  <c r="Z49" i="3"/>
  <c r="AB49" i="3" s="1"/>
  <c r="Z50" i="3"/>
  <c r="AB50" i="3" s="1"/>
  <c r="Z51" i="3"/>
  <c r="AB51" i="3" s="1"/>
  <c r="Z52" i="3"/>
  <c r="AB52" i="3" s="1"/>
  <c r="Z53" i="3"/>
  <c r="AB53" i="3" s="1"/>
  <c r="Z54" i="3"/>
  <c r="Z55" i="3"/>
  <c r="AB55" i="3" s="1"/>
  <c r="Z56" i="3"/>
  <c r="AB56" i="3" s="1"/>
  <c r="Z57" i="3"/>
  <c r="AB57" i="3" s="1"/>
  <c r="Z58" i="3"/>
  <c r="AB58" i="3" s="1"/>
  <c r="Z59" i="3"/>
  <c r="AB59" i="3" s="1"/>
  <c r="Z60" i="3"/>
  <c r="AB60" i="3" s="1"/>
  <c r="Z61" i="3"/>
  <c r="AB61" i="3" s="1"/>
  <c r="Z62" i="3"/>
  <c r="Z63" i="3"/>
  <c r="AB63" i="3" s="1"/>
  <c r="Z64" i="3"/>
  <c r="AB64" i="3" s="1"/>
  <c r="Z65" i="3"/>
  <c r="AB65" i="3" s="1"/>
  <c r="Z66" i="3"/>
  <c r="AB66" i="3" s="1"/>
  <c r="Z67" i="3"/>
  <c r="AB67" i="3" s="1"/>
  <c r="Z68" i="3"/>
  <c r="AB68" i="3" s="1"/>
  <c r="Z69" i="3"/>
  <c r="AB69" i="3" s="1"/>
  <c r="Z70" i="3"/>
  <c r="Z71" i="3"/>
  <c r="AB71" i="3" s="1"/>
  <c r="Z72" i="3"/>
  <c r="AB72" i="3" s="1"/>
  <c r="Z73" i="3"/>
  <c r="AB73" i="3" s="1"/>
  <c r="Z74" i="3"/>
  <c r="AB74" i="3" s="1"/>
  <c r="Z75" i="3"/>
  <c r="AB75" i="3" s="1"/>
  <c r="Z76" i="3"/>
  <c r="AB76" i="3" s="1"/>
  <c r="Z77" i="3"/>
  <c r="AB77" i="3" s="1"/>
  <c r="Z78" i="3"/>
  <c r="Z79" i="3"/>
  <c r="AB79" i="3" s="1"/>
  <c r="Z80" i="3"/>
  <c r="AB80" i="3" s="1"/>
  <c r="Z81" i="3"/>
  <c r="AB81" i="3" s="1"/>
  <c r="Z82" i="3"/>
  <c r="AB82" i="3" s="1"/>
  <c r="Z83" i="3"/>
  <c r="AB83" i="3" s="1"/>
  <c r="Z84" i="3"/>
  <c r="AB84" i="3" s="1"/>
  <c r="Z85" i="3"/>
  <c r="AB85" i="3" s="1"/>
  <c r="Z86" i="3"/>
  <c r="Z87" i="3"/>
  <c r="AB87" i="3" s="1"/>
  <c r="Z88" i="3"/>
  <c r="AB88" i="3" s="1"/>
  <c r="Z89" i="3"/>
  <c r="AB89" i="3" s="1"/>
  <c r="Z90" i="3"/>
  <c r="AB90" i="3" s="1"/>
  <c r="Z91" i="3"/>
  <c r="AB91" i="3" s="1"/>
  <c r="Z92" i="3"/>
  <c r="AB92" i="3" s="1"/>
  <c r="Z93" i="3"/>
  <c r="AB93" i="3" s="1"/>
  <c r="Z94" i="3"/>
  <c r="Z95" i="3"/>
  <c r="AB95" i="3" s="1"/>
  <c r="Z96" i="3"/>
  <c r="AB96" i="3" s="1"/>
  <c r="Z97" i="3"/>
  <c r="AB97" i="3" s="1"/>
  <c r="Z98" i="3"/>
  <c r="AB98" i="3" s="1"/>
  <c r="Z2" i="3"/>
  <c r="AB2" i="3" s="1"/>
  <c r="X79" i="1" l="1"/>
  <c r="T79" i="1"/>
  <c r="T31" i="1"/>
  <c r="N102" i="1"/>
  <c r="Z29" i="1" s="1"/>
  <c r="T98" i="1"/>
  <c r="T90" i="1"/>
  <c r="T82" i="1"/>
  <c r="T74" i="1"/>
  <c r="T66" i="1"/>
  <c r="T58" i="1"/>
  <c r="T9" i="1"/>
  <c r="T89" i="1"/>
  <c r="T81" i="1"/>
  <c r="T73" i="1"/>
  <c r="T49" i="1"/>
  <c r="T41" i="1"/>
  <c r="T33" i="1"/>
  <c r="X15" i="1"/>
  <c r="T15" i="1"/>
  <c r="T24" i="1"/>
  <c r="T16" i="1"/>
  <c r="T8" i="1"/>
  <c r="T96" i="1"/>
  <c r="T88" i="1"/>
  <c r="T80" i="1"/>
  <c r="T72" i="1"/>
  <c r="T64" i="1"/>
  <c r="T56" i="1"/>
  <c r="T48" i="1"/>
  <c r="X40" i="1"/>
  <c r="T40" i="1"/>
  <c r="T32" i="1"/>
  <c r="T2" i="1"/>
  <c r="P102" i="1"/>
  <c r="Z28" i="1" s="1"/>
  <c r="X87" i="1"/>
  <c r="T87" i="1"/>
  <c r="X47" i="1"/>
  <c r="T47" i="1"/>
  <c r="T95" i="1"/>
  <c r="T21" i="1"/>
  <c r="T13" i="1"/>
  <c r="T5" i="1"/>
  <c r="T93" i="1"/>
  <c r="T85" i="1"/>
  <c r="T77" i="1"/>
  <c r="T69" i="1"/>
  <c r="T61" i="1"/>
  <c r="T53" i="1"/>
  <c r="T45" i="1"/>
  <c r="T37" i="1"/>
  <c r="T29" i="1"/>
  <c r="T63" i="1"/>
  <c r="T20" i="1"/>
  <c r="X20" i="1"/>
  <c r="T60" i="1"/>
  <c r="X60" i="1"/>
  <c r="T44" i="1"/>
  <c r="X44" i="1"/>
  <c r="T28" i="1"/>
  <c r="X28" i="1"/>
  <c r="O102" i="1"/>
  <c r="T68" i="1"/>
  <c r="X68" i="1"/>
  <c r="T52" i="1"/>
  <c r="X52" i="1"/>
  <c r="T36" i="1"/>
  <c r="X36" i="1"/>
  <c r="Y6" i="1"/>
  <c r="Y5" i="1"/>
  <c r="Y93" i="1"/>
  <c r="Y85" i="1"/>
  <c r="X77" i="1"/>
  <c r="X69" i="1"/>
  <c r="X61" i="1"/>
  <c r="X53" i="1"/>
  <c r="X45" i="1"/>
  <c r="X37" i="1"/>
  <c r="Y29" i="1"/>
  <c r="Y21" i="1"/>
  <c r="T97" i="1"/>
  <c r="T65" i="1"/>
  <c r="T57" i="1"/>
  <c r="T25" i="1"/>
  <c r="T17" i="1"/>
  <c r="Y13" i="1"/>
  <c r="Y4" i="1"/>
  <c r="Y92" i="1"/>
  <c r="Y84" i="1"/>
  <c r="Y76" i="1"/>
  <c r="Y12" i="1"/>
  <c r="Y83" i="1"/>
  <c r="Y75" i="1"/>
  <c r="Y67" i="1"/>
  <c r="Y43" i="1"/>
  <c r="Y27" i="1"/>
  <c r="Y10" i="1"/>
  <c r="Y97" i="1"/>
  <c r="Y89" i="1"/>
  <c r="Y81" i="1"/>
  <c r="Y73" i="1"/>
  <c r="Y65" i="1"/>
  <c r="Y57" i="1"/>
  <c r="Y49" i="1"/>
  <c r="Y41" i="1"/>
  <c r="Y33" i="1"/>
  <c r="Y25" i="1"/>
  <c r="Y9" i="1"/>
  <c r="Y96" i="1"/>
  <c r="Y88" i="1"/>
  <c r="Y80" i="1"/>
  <c r="Y72" i="1"/>
  <c r="Y64" i="1"/>
  <c r="Y56" i="1"/>
  <c r="Y48" i="1"/>
  <c r="Y32" i="1"/>
  <c r="Y24" i="1"/>
  <c r="Y16" i="1"/>
  <c r="Y8" i="1"/>
  <c r="Y95" i="1"/>
  <c r="Y71" i="1"/>
  <c r="Y63" i="1"/>
  <c r="Y55" i="1"/>
  <c r="Y39" i="1"/>
  <c r="Y31" i="1"/>
  <c r="Y23" i="1"/>
  <c r="Y7" i="1"/>
  <c r="Z2" i="1"/>
  <c r="Z21" i="1"/>
  <c r="Z77" i="1"/>
  <c r="Z85" i="1"/>
  <c r="Z35" i="1"/>
  <c r="Z51" i="1"/>
  <c r="Z60" i="1"/>
  <c r="Z76" i="1"/>
  <c r="Z54" i="1"/>
  <c r="Z62" i="1"/>
  <c r="Z23" i="1"/>
  <c r="Z31" i="1"/>
  <c r="Z95" i="1"/>
  <c r="Z10" i="1"/>
  <c r="Z36" i="1"/>
  <c r="Z52" i="1"/>
  <c r="Z32" i="1"/>
  <c r="Z40" i="1"/>
  <c r="Z96" i="1"/>
  <c r="Z11" i="1"/>
  <c r="Z65" i="1"/>
  <c r="Z73" i="1"/>
  <c r="Z42" i="1"/>
  <c r="Z50" i="1"/>
  <c r="Z13" i="1"/>
  <c r="W54" i="1"/>
  <c r="Y54" i="1" s="1"/>
  <c r="X75" i="1"/>
  <c r="X83" i="1"/>
  <c r="X84" i="1"/>
  <c r="X78" i="1"/>
  <c r="W62" i="1"/>
  <c r="Y62" i="1" s="1"/>
  <c r="X76" i="1"/>
  <c r="X67" i="1"/>
  <c r="X94" i="1"/>
  <c r="X86" i="1"/>
  <c r="X22" i="1"/>
  <c r="X14" i="1"/>
  <c r="X85" i="1"/>
  <c r="X95" i="1"/>
  <c r="W46" i="1"/>
  <c r="Y46" i="1" s="1"/>
  <c r="X56" i="1"/>
  <c r="W47" i="1"/>
  <c r="Y47" i="1" s="1"/>
  <c r="W38" i="1"/>
  <c r="Y38" i="1" s="1"/>
  <c r="X71" i="1"/>
  <c r="W79" i="1"/>
  <c r="Y79" i="1" s="1"/>
  <c r="W30" i="1"/>
  <c r="Y30" i="1" s="1"/>
  <c r="X70" i="1"/>
  <c r="X31" i="1"/>
  <c r="X6" i="1"/>
  <c r="X72" i="1"/>
  <c r="X39" i="1"/>
  <c r="X63" i="1"/>
  <c r="X74" i="1"/>
  <c r="W15" i="1"/>
  <c r="Y15" i="1" s="1"/>
  <c r="X58" i="1"/>
  <c r="X82" i="1"/>
  <c r="X80" i="1"/>
  <c r="X55" i="1"/>
  <c r="X88" i="1"/>
  <c r="X23" i="1"/>
  <c r="W87" i="1"/>
  <c r="Y87" i="1" s="1"/>
  <c r="X66" i="1"/>
  <c r="X48" i="1"/>
  <c r="X64" i="1"/>
  <c r="X93" i="1"/>
  <c r="X29" i="1"/>
  <c r="X21" i="1"/>
  <c r="X13" i="1"/>
  <c r="W77" i="1"/>
  <c r="Y77" i="1" s="1"/>
  <c r="W69" i="1"/>
  <c r="Y69" i="1" s="1"/>
  <c r="W61" i="1"/>
  <c r="Y61" i="1" s="1"/>
  <c r="W53" i="1"/>
  <c r="Y53" i="1" s="1"/>
  <c r="W45" i="1"/>
  <c r="Y45" i="1" s="1"/>
  <c r="W37" i="1"/>
  <c r="Y37" i="1" s="1"/>
  <c r="X92" i="1"/>
  <c r="W20" i="1"/>
  <c r="Y20" i="1" s="1"/>
  <c r="W60" i="1"/>
  <c r="Y60" i="1" s="1"/>
  <c r="W44" i="1"/>
  <c r="Y44" i="1" s="1"/>
  <c r="W28" i="1"/>
  <c r="Y28" i="1" s="1"/>
  <c r="X27" i="1"/>
  <c r="X11" i="1"/>
  <c r="W19" i="1"/>
  <c r="Y19" i="1" s="1"/>
  <c r="W91" i="1"/>
  <c r="Y91" i="1" s="1"/>
  <c r="W51" i="1"/>
  <c r="Y51" i="1" s="1"/>
  <c r="W35" i="1"/>
  <c r="Y35" i="1" s="1"/>
  <c r="X90" i="1"/>
  <c r="X26" i="1"/>
  <c r="X18" i="1"/>
  <c r="W98" i="1"/>
  <c r="Y98" i="1" s="1"/>
  <c r="W50" i="1"/>
  <c r="Y50" i="1" s="1"/>
  <c r="X43" i="1"/>
  <c r="X25" i="1"/>
  <c r="W17" i="1"/>
  <c r="Y17" i="1" s="1"/>
  <c r="X96" i="1"/>
  <c r="X42" i="1"/>
  <c r="X32" i="1"/>
  <c r="X24" i="1"/>
  <c r="X16" i="1"/>
  <c r="X97" i="1"/>
  <c r="X89" i="1"/>
  <c r="X81" i="1"/>
  <c r="X73" i="1"/>
  <c r="X65" i="1"/>
  <c r="X57" i="1"/>
  <c r="X49" i="1"/>
  <c r="X41" i="1"/>
  <c r="X33" i="1"/>
  <c r="W3" i="1"/>
  <c r="Y3" i="1" s="1"/>
  <c r="X12" i="1"/>
  <c r="X5" i="1"/>
  <c r="W68" i="1"/>
  <c r="Y68" i="1" s="1"/>
  <c r="W52" i="1"/>
  <c r="Y52" i="1" s="1"/>
  <c r="W36" i="1"/>
  <c r="Y36" i="1" s="1"/>
  <c r="X4" i="1"/>
  <c r="W59" i="1"/>
  <c r="Y59" i="1" s="1"/>
  <c r="W34" i="1"/>
  <c r="Y34" i="1" s="1"/>
  <c r="W40" i="1"/>
  <c r="Y40" i="1" s="1"/>
  <c r="AA93" i="5"/>
  <c r="AA77" i="5"/>
  <c r="AB2" i="5"/>
  <c r="AB68" i="5"/>
  <c r="AD68" i="5" s="1"/>
  <c r="AB46" i="5"/>
  <c r="AC46" i="5" s="1"/>
  <c r="AF46" i="5" s="1"/>
  <c r="AG46" i="5" s="1"/>
  <c r="AA84" i="5"/>
  <c r="AB25" i="5"/>
  <c r="AD25" i="5" s="1"/>
  <c r="AA83" i="5"/>
  <c r="AA67" i="5"/>
  <c r="AB67" i="5" s="1"/>
  <c r="AA51" i="5"/>
  <c r="AA35" i="5"/>
  <c r="AA19" i="5"/>
  <c r="AA3" i="5"/>
  <c r="AA98" i="5"/>
  <c r="AB98" i="5" s="1"/>
  <c r="AB65" i="5"/>
  <c r="AC65" i="5" s="1"/>
  <c r="AF65" i="5" s="1"/>
  <c r="AG65" i="5" s="1"/>
  <c r="AA97" i="5"/>
  <c r="AA81" i="5"/>
  <c r="AB81" i="5" s="1"/>
  <c r="AA65" i="5"/>
  <c r="AA49" i="5"/>
  <c r="AA33" i="5"/>
  <c r="AA17" i="5"/>
  <c r="AB17" i="5" s="1"/>
  <c r="AB84" i="5"/>
  <c r="AD84" i="5" s="1"/>
  <c r="AB74" i="5"/>
  <c r="AC74" i="5" s="1"/>
  <c r="AB62" i="5"/>
  <c r="AD62" i="5" s="1"/>
  <c r="AB42" i="5"/>
  <c r="AC42" i="5" s="1"/>
  <c r="AB30" i="5"/>
  <c r="AC30" i="5" s="1"/>
  <c r="AF30" i="5" s="1"/>
  <c r="AG30" i="5" s="1"/>
  <c r="AA96" i="5"/>
  <c r="AA88" i="5"/>
  <c r="AA80" i="5"/>
  <c r="AA72" i="5"/>
  <c r="AA64" i="5"/>
  <c r="AA56" i="5"/>
  <c r="AA48" i="5"/>
  <c r="AA40" i="5"/>
  <c r="AA32" i="5"/>
  <c r="AA24" i="5"/>
  <c r="AA16" i="5"/>
  <c r="AB16" i="5" s="1"/>
  <c r="AA8" i="5"/>
  <c r="AB8" i="5" s="1"/>
  <c r="AB93" i="5"/>
  <c r="AC93" i="5" s="1"/>
  <c r="AF93" i="5" s="1"/>
  <c r="AG93" i="5" s="1"/>
  <c r="AB83" i="5"/>
  <c r="AD83" i="5" s="1"/>
  <c r="AB51" i="5"/>
  <c r="AD51" i="5" s="1"/>
  <c r="AB41" i="5"/>
  <c r="AB19" i="5"/>
  <c r="AD19" i="5" s="1"/>
  <c r="AA95" i="5"/>
  <c r="AA87" i="5"/>
  <c r="AA79" i="5"/>
  <c r="AA71" i="5"/>
  <c r="AA63" i="5"/>
  <c r="AA55" i="5"/>
  <c r="AA47" i="5"/>
  <c r="AA39" i="5"/>
  <c r="AA31" i="5"/>
  <c r="AA23" i="5"/>
  <c r="AA15" i="5"/>
  <c r="AA7" i="5"/>
  <c r="AB7" i="5" s="1"/>
  <c r="AB91" i="5"/>
  <c r="AD91" i="5" s="1"/>
  <c r="AB69" i="5"/>
  <c r="AD69" i="5" s="1"/>
  <c r="AB49" i="5"/>
  <c r="AD49" i="5" s="1"/>
  <c r="AA85" i="5"/>
  <c r="AB85" i="5" s="1"/>
  <c r="AA92" i="5"/>
  <c r="AA76" i="5"/>
  <c r="AB76" i="5" s="1"/>
  <c r="AB77" i="5"/>
  <c r="AC77" i="5" s="1"/>
  <c r="AF77" i="5" s="1"/>
  <c r="AG77" i="5" s="1"/>
  <c r="AB57" i="5"/>
  <c r="AC57" i="5" s="1"/>
  <c r="AB35" i="5"/>
  <c r="AD35" i="5" s="1"/>
  <c r="AA2" i="5"/>
  <c r="AA91" i="5"/>
  <c r="AA75" i="5"/>
  <c r="AA59" i="5"/>
  <c r="AB59" i="5" s="1"/>
  <c r="AA43" i="5"/>
  <c r="AB43" i="5" s="1"/>
  <c r="AA27" i="5"/>
  <c r="AB27" i="5" s="1"/>
  <c r="AA11" i="5"/>
  <c r="AA90" i="5"/>
  <c r="AB90" i="5" s="1"/>
  <c r="AA82" i="5"/>
  <c r="AA74" i="5"/>
  <c r="AA66" i="5"/>
  <c r="AB66" i="5" s="1"/>
  <c r="AA58" i="5"/>
  <c r="AB58" i="5" s="1"/>
  <c r="AA50" i="5"/>
  <c r="AB50" i="5" s="1"/>
  <c r="AA42" i="5"/>
  <c r="AA34" i="5"/>
  <c r="AB34" i="5" s="1"/>
  <c r="AA26" i="5"/>
  <c r="AB26" i="5" s="1"/>
  <c r="AA18" i="5"/>
  <c r="AA10" i="5"/>
  <c r="AB97" i="5"/>
  <c r="AC97" i="5" s="1"/>
  <c r="AB75" i="5"/>
  <c r="AD75" i="5" s="1"/>
  <c r="AB53" i="5"/>
  <c r="AB33" i="5"/>
  <c r="AA89" i="5"/>
  <c r="AB89" i="5" s="1"/>
  <c r="AA73" i="5"/>
  <c r="AB73" i="5" s="1"/>
  <c r="AA57" i="5"/>
  <c r="AA41" i="5"/>
  <c r="AA25" i="5"/>
  <c r="AA9" i="5"/>
  <c r="AB9" i="5" s="1"/>
  <c r="AD9" i="5" s="1"/>
  <c r="AB10" i="5"/>
  <c r="AD10" i="5" s="1"/>
  <c r="AB92" i="5"/>
  <c r="AD92" i="5" s="1"/>
  <c r="AB82" i="5"/>
  <c r="AC82" i="5" s="1"/>
  <c r="AB70" i="5"/>
  <c r="AB28" i="5"/>
  <c r="AD28" i="5" s="1"/>
  <c r="AB18" i="5"/>
  <c r="AC18" i="5" s="1"/>
  <c r="AA94" i="5"/>
  <c r="AB94" i="5" s="1"/>
  <c r="AA86" i="5"/>
  <c r="AB86" i="5" s="1"/>
  <c r="AA78" i="5"/>
  <c r="AB78" i="5" s="1"/>
  <c r="AA70" i="5"/>
  <c r="AA62" i="5"/>
  <c r="AA54" i="5"/>
  <c r="AB54" i="5" s="1"/>
  <c r="AA46" i="5"/>
  <c r="AA38" i="5"/>
  <c r="AB38" i="5" s="1"/>
  <c r="AA30" i="5"/>
  <c r="AA22" i="5"/>
  <c r="AB22" i="5" s="1"/>
  <c r="AA14" i="5"/>
  <c r="AA6" i="5"/>
  <c r="AB6" i="5" s="1"/>
  <c r="AB15" i="5"/>
  <c r="AD15" i="5" s="1"/>
  <c r="AA61" i="5"/>
  <c r="AB61" i="5" s="1"/>
  <c r="AA53" i="5"/>
  <c r="AA45" i="5"/>
  <c r="AB45" i="5" s="1"/>
  <c r="AA37" i="5"/>
  <c r="AB37" i="5" s="1"/>
  <c r="AA29" i="5"/>
  <c r="AB29" i="5" s="1"/>
  <c r="AA21" i="5"/>
  <c r="AB21" i="5" s="1"/>
  <c r="AA13" i="5"/>
  <c r="AA5" i="5"/>
  <c r="AB5" i="5" s="1"/>
  <c r="AD5" i="5" s="1"/>
  <c r="AB14" i="5"/>
  <c r="AC14" i="5" s="1"/>
  <c r="AF14" i="5" s="1"/>
  <c r="AG14" i="5" s="1"/>
  <c r="AA60" i="5"/>
  <c r="AB60" i="5" s="1"/>
  <c r="AA52" i="5"/>
  <c r="AB52" i="5" s="1"/>
  <c r="AA44" i="5"/>
  <c r="AB44" i="5" s="1"/>
  <c r="AA36" i="5"/>
  <c r="AB36" i="5" s="1"/>
  <c r="AA28" i="5"/>
  <c r="AA20" i="5"/>
  <c r="AB20" i="5" s="1"/>
  <c r="AA12" i="5"/>
  <c r="AB13" i="5"/>
  <c r="AC13" i="5" s="1"/>
  <c r="AF13" i="5" s="1"/>
  <c r="AG13" i="5" s="1"/>
  <c r="Z96" i="5"/>
  <c r="AB96" i="5" s="1"/>
  <c r="Z88" i="5"/>
  <c r="AB88" i="5" s="1"/>
  <c r="AC88" i="5" s="1"/>
  <c r="AF88" i="5" s="1"/>
  <c r="AG88" i="5" s="1"/>
  <c r="Z80" i="5"/>
  <c r="AB80" i="5" s="1"/>
  <c r="AD80" i="5" s="1"/>
  <c r="Z72" i="5"/>
  <c r="AB72" i="5" s="1"/>
  <c r="AC72" i="5" s="1"/>
  <c r="AF72" i="5" s="1"/>
  <c r="AG72" i="5" s="1"/>
  <c r="Z64" i="5"/>
  <c r="Z56" i="5"/>
  <c r="Z48" i="5"/>
  <c r="Z40" i="5"/>
  <c r="AB40" i="5" s="1"/>
  <c r="AC40" i="5" s="1"/>
  <c r="AF40" i="5" s="1"/>
  <c r="AG40" i="5" s="1"/>
  <c r="Z32" i="5"/>
  <c r="AB32" i="5" s="1"/>
  <c r="AD32" i="5" s="1"/>
  <c r="Z24" i="5"/>
  <c r="AB24" i="5" s="1"/>
  <c r="AD24" i="5" s="1"/>
  <c r="Z12" i="5"/>
  <c r="AB12" i="5" s="1"/>
  <c r="AD12" i="5" s="1"/>
  <c r="Z4" i="5"/>
  <c r="AB4" i="5" s="1"/>
  <c r="AD4" i="5" s="1"/>
  <c r="Z95" i="5"/>
  <c r="Z87" i="5"/>
  <c r="Z79" i="5"/>
  <c r="AB79" i="5" s="1"/>
  <c r="AD79" i="5" s="1"/>
  <c r="Z71" i="5"/>
  <c r="AB71" i="5" s="1"/>
  <c r="Z63" i="5"/>
  <c r="AB63" i="5" s="1"/>
  <c r="Z55" i="5"/>
  <c r="AB55" i="5" s="1"/>
  <c r="AD55" i="5" s="1"/>
  <c r="Z47" i="5"/>
  <c r="AB47" i="5" s="1"/>
  <c r="AC47" i="5" s="1"/>
  <c r="AF47" i="5" s="1"/>
  <c r="AG47" i="5" s="1"/>
  <c r="Z39" i="5"/>
  <c r="AB39" i="5" s="1"/>
  <c r="AC39" i="5" s="1"/>
  <c r="AF39" i="5" s="1"/>
  <c r="AG39" i="5" s="1"/>
  <c r="Z31" i="5"/>
  <c r="Z23" i="5"/>
  <c r="Z11" i="5"/>
  <c r="Z3" i="5"/>
  <c r="AB3" i="5" s="1"/>
  <c r="AD3" i="5" s="1"/>
  <c r="X10" i="1"/>
  <c r="X9" i="1"/>
  <c r="X8" i="1"/>
  <c r="X7" i="1"/>
  <c r="AC41" i="5"/>
  <c r="AF41" i="5" s="1"/>
  <c r="AG41" i="5" s="1"/>
  <c r="AD41" i="5"/>
  <c r="AC79" i="5"/>
  <c r="AF79" i="5" s="1"/>
  <c r="AG79" i="5" s="1"/>
  <c r="AC71" i="5"/>
  <c r="AD71" i="5"/>
  <c r="AC63" i="5"/>
  <c r="AF63" i="5" s="1"/>
  <c r="AG63" i="5" s="1"/>
  <c r="AD63" i="5"/>
  <c r="AC55" i="5"/>
  <c r="AF55" i="5" s="1"/>
  <c r="AG55" i="5" s="1"/>
  <c r="AC49" i="5"/>
  <c r="AF49" i="5" s="1"/>
  <c r="AG49" i="5" s="1"/>
  <c r="AD2" i="5"/>
  <c r="AC2" i="5"/>
  <c r="AF2" i="5" s="1"/>
  <c r="AG2" i="5" s="1"/>
  <c r="AD70" i="5"/>
  <c r="AC70" i="5"/>
  <c r="AF70" i="5" s="1"/>
  <c r="AG70" i="5" s="1"/>
  <c r="AC62" i="5"/>
  <c r="AF62" i="5" s="1"/>
  <c r="AG62" i="5" s="1"/>
  <c r="AD46" i="5"/>
  <c r="AD14" i="5"/>
  <c r="AC6" i="5"/>
  <c r="AD6" i="5"/>
  <c r="AF6" i="5"/>
  <c r="AG6" i="5" s="1"/>
  <c r="AC96" i="5"/>
  <c r="AF96" i="5" s="1"/>
  <c r="AG96" i="5" s="1"/>
  <c r="AD96" i="5"/>
  <c r="AC5" i="5"/>
  <c r="AF5" i="5" s="1"/>
  <c r="AG5" i="5" s="1"/>
  <c r="AD77" i="5"/>
  <c r="AD53" i="5"/>
  <c r="AC53" i="5"/>
  <c r="AF53" i="5" s="1"/>
  <c r="AG53" i="5" s="1"/>
  <c r="AD13" i="5"/>
  <c r="AD97" i="5"/>
  <c r="AC33" i="5"/>
  <c r="AF33" i="5" s="1"/>
  <c r="AG33" i="5" s="1"/>
  <c r="AD33" i="5"/>
  <c r="AD82" i="5"/>
  <c r="AD18" i="5"/>
  <c r="AC84" i="5"/>
  <c r="AF84" i="5" s="1"/>
  <c r="AG84" i="5" s="1"/>
  <c r="AF74" i="5"/>
  <c r="AG74" i="5" s="1"/>
  <c r="AF18" i="5"/>
  <c r="AG18" i="5" s="1"/>
  <c r="AC91" i="5"/>
  <c r="AF91" i="5" s="1"/>
  <c r="AG91" i="5" s="1"/>
  <c r="AC83" i="5"/>
  <c r="AF83" i="5" s="1"/>
  <c r="AG83" i="5" s="1"/>
  <c r="AC51" i="5"/>
  <c r="AF51" i="5" s="1"/>
  <c r="AG51" i="5" s="1"/>
  <c r="AC35" i="5"/>
  <c r="AF35" i="5" s="1"/>
  <c r="AG35" i="5" s="1"/>
  <c r="AC19" i="5"/>
  <c r="AF19" i="5" s="1"/>
  <c r="AG19" i="5" s="1"/>
  <c r="AB97" i="4"/>
  <c r="AD97" i="4" s="1"/>
  <c r="AB89" i="4"/>
  <c r="AD89" i="4" s="1"/>
  <c r="AB81" i="4"/>
  <c r="AD81" i="4" s="1"/>
  <c r="AB73" i="4"/>
  <c r="AD73" i="4" s="1"/>
  <c r="AB65" i="4"/>
  <c r="AD65" i="4" s="1"/>
  <c r="AB57" i="4"/>
  <c r="AD57" i="4" s="1"/>
  <c r="AB49" i="4"/>
  <c r="AD49" i="4" s="1"/>
  <c r="AB41" i="4"/>
  <c r="AD41" i="4" s="1"/>
  <c r="AB33" i="4"/>
  <c r="AD33" i="4" s="1"/>
  <c r="AB25" i="4"/>
  <c r="AD25" i="4" s="1"/>
  <c r="AB17" i="4"/>
  <c r="AC9" i="4"/>
  <c r="AC12" i="4"/>
  <c r="AD2" i="4"/>
  <c r="AC2" i="4"/>
  <c r="AD17" i="4"/>
  <c r="AC17" i="4"/>
  <c r="AG17" i="4" s="1"/>
  <c r="AC19" i="4"/>
  <c r="AD18" i="4"/>
  <c r="AC11" i="4"/>
  <c r="AC3" i="4"/>
  <c r="AC16" i="4"/>
  <c r="AC10" i="4"/>
  <c r="AC23" i="4"/>
  <c r="AC15" i="4"/>
  <c r="AC22" i="4"/>
  <c r="AG22" i="4" s="1"/>
  <c r="AC21" i="4"/>
  <c r="AC20" i="4"/>
  <c r="AG58" i="4"/>
  <c r="AG40" i="4"/>
  <c r="AG60" i="4"/>
  <c r="AG15" i="4"/>
  <c r="AG21" i="4"/>
  <c r="AG25" i="4"/>
  <c r="AG42" i="4"/>
  <c r="AG46" i="4"/>
  <c r="AG68" i="4"/>
  <c r="AG78" i="4"/>
  <c r="AG93" i="4"/>
  <c r="AG97" i="4"/>
  <c r="AG23" i="4"/>
  <c r="AG29" i="4"/>
  <c r="AG33" i="4"/>
  <c r="AG44" i="4"/>
  <c r="AG48" i="4"/>
  <c r="AG76" i="4"/>
  <c r="AG80" i="4"/>
  <c r="AG82" i="4"/>
  <c r="AG95" i="4"/>
  <c r="AG36" i="4"/>
  <c r="AG55" i="4"/>
  <c r="AG74" i="4"/>
  <c r="AG31" i="4"/>
  <c r="AG56" i="4"/>
  <c r="AG86" i="4"/>
  <c r="AG16" i="4"/>
  <c r="AG18" i="4"/>
  <c r="AG52" i="4"/>
  <c r="AG63" i="4"/>
  <c r="AG69" i="4"/>
  <c r="AG73" i="4"/>
  <c r="AG84" i="4"/>
  <c r="AG88" i="4"/>
  <c r="AG90" i="4"/>
  <c r="AG72" i="4"/>
  <c r="AG50" i="4"/>
  <c r="AG61" i="4"/>
  <c r="AG24" i="4"/>
  <c r="AG45" i="4"/>
  <c r="AG71" i="4"/>
  <c r="AG77" i="4"/>
  <c r="AG94" i="4"/>
  <c r="AG96" i="4"/>
  <c r="AG98" i="4"/>
  <c r="AG89" i="4"/>
  <c r="AG37" i="4"/>
  <c r="AG65" i="4"/>
  <c r="AG20" i="4"/>
  <c r="AG26" i="4"/>
  <c r="AG30" i="4"/>
  <c r="AG32" i="4"/>
  <c r="AG34" i="4"/>
  <c r="AG81" i="4"/>
  <c r="AG92" i="4"/>
  <c r="AG70" i="4"/>
  <c r="AG54" i="4"/>
  <c r="AG28" i="4"/>
  <c r="AG38" i="4"/>
  <c r="AG53" i="4"/>
  <c r="AG62" i="4"/>
  <c r="AG64" i="4"/>
  <c r="AG66" i="4"/>
  <c r="AG85" i="4"/>
  <c r="AG75" i="4"/>
  <c r="AG27" i="4"/>
  <c r="AG19" i="4"/>
  <c r="AG35" i="4"/>
  <c r="AG43" i="4"/>
  <c r="AG51" i="4"/>
  <c r="AG59" i="4"/>
  <c r="AG67" i="4"/>
  <c r="AG83" i="4"/>
  <c r="AG91" i="4"/>
  <c r="AG39" i="4"/>
  <c r="AG47" i="4"/>
  <c r="AG79" i="4"/>
  <c r="AG87" i="4"/>
  <c r="AC49" i="3"/>
  <c r="AC56" i="3"/>
  <c r="AC92" i="3"/>
  <c r="AC84" i="3"/>
  <c r="AC76" i="3"/>
  <c r="AC68" i="3"/>
  <c r="AC60" i="3"/>
  <c r="AC52" i="3"/>
  <c r="AC44" i="3"/>
  <c r="AC36" i="3"/>
  <c r="AC28" i="3"/>
  <c r="AC20" i="3"/>
  <c r="AC12" i="3"/>
  <c r="AC4" i="3"/>
  <c r="AC65" i="3"/>
  <c r="AC33" i="3"/>
  <c r="AC72" i="3"/>
  <c r="AC24" i="3"/>
  <c r="AC2" i="3"/>
  <c r="AC91" i="3"/>
  <c r="AC83" i="3"/>
  <c r="AC75" i="3"/>
  <c r="AC67" i="3"/>
  <c r="AC59" i="3"/>
  <c r="AC51" i="3"/>
  <c r="AC43" i="3"/>
  <c r="AC35" i="3"/>
  <c r="AC27" i="3"/>
  <c r="AC19" i="3"/>
  <c r="AC11" i="3"/>
  <c r="AC3" i="3"/>
  <c r="AC97" i="3"/>
  <c r="AC57" i="3"/>
  <c r="AC9" i="3"/>
  <c r="AC96" i="3"/>
  <c r="AC64" i="3"/>
  <c r="AC16" i="3"/>
  <c r="AC98" i="3"/>
  <c r="AC90" i="3"/>
  <c r="AC82" i="3"/>
  <c r="AC74" i="3"/>
  <c r="AC66" i="3"/>
  <c r="AC58" i="3"/>
  <c r="AC50" i="3"/>
  <c r="AC42" i="3"/>
  <c r="AC34" i="3"/>
  <c r="AC26" i="3"/>
  <c r="AC18" i="3"/>
  <c r="AC10" i="3"/>
  <c r="AC73" i="3"/>
  <c r="AC17" i="3"/>
  <c r="AC80" i="3"/>
  <c r="AC48" i="3"/>
  <c r="AC8" i="3"/>
  <c r="AC95" i="3"/>
  <c r="AC87" i="3"/>
  <c r="AC79" i="3"/>
  <c r="AC71" i="3"/>
  <c r="AC63" i="3"/>
  <c r="AC55" i="3"/>
  <c r="AC47" i="3"/>
  <c r="AC39" i="3"/>
  <c r="AC31" i="3"/>
  <c r="AC23" i="3"/>
  <c r="AC15" i="3"/>
  <c r="AC7" i="3"/>
  <c r="AC89" i="3"/>
  <c r="AC25" i="3"/>
  <c r="AC32" i="3"/>
  <c r="AC81" i="3"/>
  <c r="AC41" i="3"/>
  <c r="AC88" i="3"/>
  <c r="AC40" i="3"/>
  <c r="AC93" i="3"/>
  <c r="AC85" i="3"/>
  <c r="AC77" i="3"/>
  <c r="AC69" i="3"/>
  <c r="AC61" i="3"/>
  <c r="AC53" i="3"/>
  <c r="AC45" i="3"/>
  <c r="AC37" i="3"/>
  <c r="AC29" i="3"/>
  <c r="AC21" i="3"/>
  <c r="AC13" i="3"/>
  <c r="AC5" i="3"/>
  <c r="AC94" i="3"/>
  <c r="AC86" i="3"/>
  <c r="AC78" i="3"/>
  <c r="AC70" i="3"/>
  <c r="AC62" i="3"/>
  <c r="AC54" i="3"/>
  <c r="AC46" i="3"/>
  <c r="AC38" i="3"/>
  <c r="AC30" i="3"/>
  <c r="AC22" i="3"/>
  <c r="AC14" i="3"/>
  <c r="AC6" i="3"/>
  <c r="Z98" i="1" l="1"/>
  <c r="Z34" i="1"/>
  <c r="Z57" i="1"/>
  <c r="Z88" i="1"/>
  <c r="Z24" i="1"/>
  <c r="Z20" i="1"/>
  <c r="Z79" i="1"/>
  <c r="Z17" i="1"/>
  <c r="Z46" i="1"/>
  <c r="Z44" i="1"/>
  <c r="Z27" i="1"/>
  <c r="Z69" i="1"/>
  <c r="Z49" i="1"/>
  <c r="Z9" i="1"/>
  <c r="Z61" i="1"/>
  <c r="Z82" i="1"/>
  <c r="Z12" i="1"/>
  <c r="Z41" i="1"/>
  <c r="Z72" i="1"/>
  <c r="Z3" i="1"/>
  <c r="Z83" i="1"/>
  <c r="Z63" i="1"/>
  <c r="Z94" i="1"/>
  <c r="Z30" i="1"/>
  <c r="Z14" i="1"/>
  <c r="Z87" i="1"/>
  <c r="Z53" i="1"/>
  <c r="Z90" i="1"/>
  <c r="Z6" i="1"/>
  <c r="Z19" i="1"/>
  <c r="Z74" i="1"/>
  <c r="Z97" i="1"/>
  <c r="Z33" i="1"/>
  <c r="Z64" i="1"/>
  <c r="Z7" i="1"/>
  <c r="Z67" i="1"/>
  <c r="Z55" i="1"/>
  <c r="Z86" i="1"/>
  <c r="Z22" i="1"/>
  <c r="Z91" i="1"/>
  <c r="Z16" i="1"/>
  <c r="Z45" i="1"/>
  <c r="Z80" i="1"/>
  <c r="Z71" i="1"/>
  <c r="Z38" i="1"/>
  <c r="Z66" i="1"/>
  <c r="Z89" i="1"/>
  <c r="Z25" i="1"/>
  <c r="Z56" i="1"/>
  <c r="Z84" i="1"/>
  <c r="Z43" i="1"/>
  <c r="Z47" i="1"/>
  <c r="Z78" i="1"/>
  <c r="Z15" i="1"/>
  <c r="Z75" i="1"/>
  <c r="Z8" i="1"/>
  <c r="Z37" i="1"/>
  <c r="Z26" i="1"/>
  <c r="Z4" i="1"/>
  <c r="Z58" i="1"/>
  <c r="Z81" i="1"/>
  <c r="Z5" i="1"/>
  <c r="Z48" i="1"/>
  <c r="Z68" i="1"/>
  <c r="Z18" i="1"/>
  <c r="Z39" i="1"/>
  <c r="Z70" i="1"/>
  <c r="Z92" i="1"/>
  <c r="Z59" i="1"/>
  <c r="Z93" i="1"/>
  <c r="AC89" i="5"/>
  <c r="AF89" i="5" s="1"/>
  <c r="AG89" i="5" s="1"/>
  <c r="AD89" i="5"/>
  <c r="AD27" i="5"/>
  <c r="AC27" i="5"/>
  <c r="AF27" i="5" s="1"/>
  <c r="AG27" i="5" s="1"/>
  <c r="AD36" i="5"/>
  <c r="AC36" i="5"/>
  <c r="AF36" i="5" s="1"/>
  <c r="AG36" i="5" s="1"/>
  <c r="AC29" i="5"/>
  <c r="AF29" i="5" s="1"/>
  <c r="AG29" i="5" s="1"/>
  <c r="AD29" i="5"/>
  <c r="AD22" i="5"/>
  <c r="AC22" i="5"/>
  <c r="AF22" i="5" s="1"/>
  <c r="AG22" i="5" s="1"/>
  <c r="AC86" i="5"/>
  <c r="AF86" i="5" s="1"/>
  <c r="AG86" i="5" s="1"/>
  <c r="AD86" i="5"/>
  <c r="AC58" i="5"/>
  <c r="AF58" i="5"/>
  <c r="AG58" i="5" s="1"/>
  <c r="AD58" i="5"/>
  <c r="AD59" i="5"/>
  <c r="AC59" i="5"/>
  <c r="AF59" i="5" s="1"/>
  <c r="AG59" i="5" s="1"/>
  <c r="AC61" i="5"/>
  <c r="AF61" i="5" s="1"/>
  <c r="AG61" i="5" s="1"/>
  <c r="AD61" i="5"/>
  <c r="AC26" i="5"/>
  <c r="AF26" i="5"/>
  <c r="AG26" i="5" s="1"/>
  <c r="AD26" i="5"/>
  <c r="AD20" i="5"/>
  <c r="AC20" i="5"/>
  <c r="AF20" i="5" s="1"/>
  <c r="AG20" i="5" s="1"/>
  <c r="AC98" i="5"/>
  <c r="AF98" i="5" s="1"/>
  <c r="AG98" i="5" s="1"/>
  <c r="AD98" i="5"/>
  <c r="AD76" i="5"/>
  <c r="AC76" i="5"/>
  <c r="AF76" i="5" s="1"/>
  <c r="AG76" i="5" s="1"/>
  <c r="AD44" i="5"/>
  <c r="AC44" i="5"/>
  <c r="AF44" i="5" s="1"/>
  <c r="AG44" i="5" s="1"/>
  <c r="AD37" i="5"/>
  <c r="AC37" i="5"/>
  <c r="AF37" i="5" s="1"/>
  <c r="AG37" i="5" s="1"/>
  <c r="AC94" i="5"/>
  <c r="AF94" i="5" s="1"/>
  <c r="AG94" i="5" s="1"/>
  <c r="AD94" i="5"/>
  <c r="AC66" i="5"/>
  <c r="AD66" i="5"/>
  <c r="AF66" i="5"/>
  <c r="AG66" i="5" s="1"/>
  <c r="AD85" i="5"/>
  <c r="AC85" i="5"/>
  <c r="AF85" i="5" s="1"/>
  <c r="AG85" i="5" s="1"/>
  <c r="AD54" i="5"/>
  <c r="AC54" i="5"/>
  <c r="AF54" i="5" s="1"/>
  <c r="AG54" i="5" s="1"/>
  <c r="AD7" i="5"/>
  <c r="AC7" i="5"/>
  <c r="AF7" i="5" s="1"/>
  <c r="AG7" i="5" s="1"/>
  <c r="AD8" i="5"/>
  <c r="AC8" i="5"/>
  <c r="AF8" i="5" s="1"/>
  <c r="AG8" i="5" s="1"/>
  <c r="AD21" i="5"/>
  <c r="AC21" i="5"/>
  <c r="AF21" i="5" s="1"/>
  <c r="AG21" i="5" s="1"/>
  <c r="AC50" i="5"/>
  <c r="AF50" i="5" s="1"/>
  <c r="AG50" i="5" s="1"/>
  <c r="AD50" i="5"/>
  <c r="AD17" i="5"/>
  <c r="AC17" i="5"/>
  <c r="AF17" i="5" s="1"/>
  <c r="AG17" i="5" s="1"/>
  <c r="AD52" i="5"/>
  <c r="AC52" i="5"/>
  <c r="AF52" i="5" s="1"/>
  <c r="AG52" i="5" s="1"/>
  <c r="AC45" i="5"/>
  <c r="AF45" i="5" s="1"/>
  <c r="AG45" i="5" s="1"/>
  <c r="AD45" i="5"/>
  <c r="AC38" i="5"/>
  <c r="AF38" i="5" s="1"/>
  <c r="AG38" i="5" s="1"/>
  <c r="AD38" i="5"/>
  <c r="AC73" i="5"/>
  <c r="AF73" i="5" s="1"/>
  <c r="AG73" i="5" s="1"/>
  <c r="AD73" i="5"/>
  <c r="AC90" i="5"/>
  <c r="AF90" i="5"/>
  <c r="AG90" i="5" s="1"/>
  <c r="AD90" i="5"/>
  <c r="AC34" i="5"/>
  <c r="AF34" i="5" s="1"/>
  <c r="AG34" i="5" s="1"/>
  <c r="AD34" i="5"/>
  <c r="AC78" i="5"/>
  <c r="AF78" i="5" s="1"/>
  <c r="AG78" i="5" s="1"/>
  <c r="AD78" i="5"/>
  <c r="AD43" i="5"/>
  <c r="AC43" i="5"/>
  <c r="AF43" i="5" s="1"/>
  <c r="AG43" i="5" s="1"/>
  <c r="AC16" i="5"/>
  <c r="AF16" i="5" s="1"/>
  <c r="AG16" i="5" s="1"/>
  <c r="AD16" i="5"/>
  <c r="AD60" i="5"/>
  <c r="AC60" i="5"/>
  <c r="AF60" i="5" s="1"/>
  <c r="AG60" i="5" s="1"/>
  <c r="AC81" i="5"/>
  <c r="AF81" i="5"/>
  <c r="AG81" i="5" s="1"/>
  <c r="AD81" i="5"/>
  <c r="AD67" i="5"/>
  <c r="AC67" i="5"/>
  <c r="AF67" i="5" s="1"/>
  <c r="AG67" i="5" s="1"/>
  <c r="AF82" i="5"/>
  <c r="AG82" i="5" s="1"/>
  <c r="AC68" i="5"/>
  <c r="AF68" i="5" s="1"/>
  <c r="AG68" i="5" s="1"/>
  <c r="AD65" i="5"/>
  <c r="AD93" i="5"/>
  <c r="AC25" i="5"/>
  <c r="AF25" i="5" s="1"/>
  <c r="AG25" i="5" s="1"/>
  <c r="AD30" i="5"/>
  <c r="AC80" i="5"/>
  <c r="AF80" i="5" s="1"/>
  <c r="AG80" i="5" s="1"/>
  <c r="AD39" i="5"/>
  <c r="AC24" i="5"/>
  <c r="AF24" i="5" s="1"/>
  <c r="AG24" i="5" s="1"/>
  <c r="AD88" i="5"/>
  <c r="AC4" i="5"/>
  <c r="AF4" i="5" s="1"/>
  <c r="AG4" i="5" s="1"/>
  <c r="AC28" i="5"/>
  <c r="AF28" i="5" s="1"/>
  <c r="AG28" i="5" s="1"/>
  <c r="AC92" i="5"/>
  <c r="AF92" i="5" s="1"/>
  <c r="AG92" i="5" s="1"/>
  <c r="AF97" i="5"/>
  <c r="AG97" i="5" s="1"/>
  <c r="AC69" i="5"/>
  <c r="AF69" i="5" s="1"/>
  <c r="AG69" i="5" s="1"/>
  <c r="AC3" i="5"/>
  <c r="AF3" i="5" s="1"/>
  <c r="AG3" i="5" s="1"/>
  <c r="AF57" i="5"/>
  <c r="AG57" i="5" s="1"/>
  <c r="AC15" i="5"/>
  <c r="AF15" i="5" s="1"/>
  <c r="AG15" i="5" s="1"/>
  <c r="AD47" i="5"/>
  <c r="AC32" i="5"/>
  <c r="AF32" i="5" s="1"/>
  <c r="AG32" i="5" s="1"/>
  <c r="AC9" i="5"/>
  <c r="AF9" i="5" s="1"/>
  <c r="AG9" i="5" s="1"/>
  <c r="AB23" i="5"/>
  <c r="AB87" i="5"/>
  <c r="AB56" i="5"/>
  <c r="AD42" i="5"/>
  <c r="AC10" i="5"/>
  <c r="AF10" i="5" s="1"/>
  <c r="AG10" i="5" s="1"/>
  <c r="AF71" i="5"/>
  <c r="AG71" i="5" s="1"/>
  <c r="AF42" i="5"/>
  <c r="AG42" i="5" s="1"/>
  <c r="AD57" i="5"/>
  <c r="AB11" i="5"/>
  <c r="AB48" i="5"/>
  <c r="AC48" i="5" s="1"/>
  <c r="AF48" i="5" s="1"/>
  <c r="AG48" i="5" s="1"/>
  <c r="AC12" i="5"/>
  <c r="AF12" i="5" s="1"/>
  <c r="AG12" i="5" s="1"/>
  <c r="AC75" i="5"/>
  <c r="AF75" i="5" s="1"/>
  <c r="AG75" i="5" s="1"/>
  <c r="AD74" i="5"/>
  <c r="AD40" i="5"/>
  <c r="AB31" i="5"/>
  <c r="AB95" i="5"/>
  <c r="AB64" i="5"/>
  <c r="AD72" i="5"/>
  <c r="AD48" i="5"/>
  <c r="AG41" i="4"/>
  <c r="AG57" i="4"/>
  <c r="AC64" i="5" l="1"/>
  <c r="AF64" i="5" s="1"/>
  <c r="AG64" i="5" s="1"/>
  <c r="AD64" i="5"/>
  <c r="AC23" i="5"/>
  <c r="AF23" i="5" s="1"/>
  <c r="AG23" i="5" s="1"/>
  <c r="AD23" i="5"/>
  <c r="AC31" i="5"/>
  <c r="AF31" i="5" s="1"/>
  <c r="AG31" i="5" s="1"/>
  <c r="AD31" i="5"/>
  <c r="AC56" i="5"/>
  <c r="AF56" i="5" s="1"/>
  <c r="AG56" i="5" s="1"/>
  <c r="AD56" i="5"/>
  <c r="AC87" i="5"/>
  <c r="AF87" i="5" s="1"/>
  <c r="AG87" i="5" s="1"/>
  <c r="AD87" i="5"/>
  <c r="AD11" i="5"/>
  <c r="AC11" i="5"/>
  <c r="AF11" i="5" s="1"/>
  <c r="AG11" i="5" s="1"/>
  <c r="AG101" i="5" s="1"/>
  <c r="AC95" i="5"/>
  <c r="AF95" i="5" s="1"/>
  <c r="AG95" i="5" s="1"/>
  <c r="AD95" i="5"/>
  <c r="AG49" i="4"/>
  <c r="AD99" i="5" l="1"/>
  <c r="AD101" i="5" s="1"/>
  <c r="C102" i="1"/>
  <c r="X2" i="1"/>
  <c r="W2" i="1"/>
  <c r="Y2" i="1" l="1"/>
  <c r="O103" i="1"/>
  <c r="P103" i="1"/>
  <c r="Q103" i="1"/>
  <c r="R103" i="1"/>
  <c r="S103" i="1"/>
  <c r="N103" i="1"/>
  <c r="AA10" i="1" l="1"/>
  <c r="AB10" i="1" s="1"/>
  <c r="AA33" i="1"/>
  <c r="AB33" i="1" s="1"/>
  <c r="AA89" i="1"/>
  <c r="AB89" i="1" s="1"/>
  <c r="AA49" i="1"/>
  <c r="AB49" i="1" s="1"/>
  <c r="AA88" i="1"/>
  <c r="AB88" i="1" s="1"/>
  <c r="AA24" i="1"/>
  <c r="AB24" i="1" s="1"/>
  <c r="AA54" i="1"/>
  <c r="AB54" i="1" s="1"/>
  <c r="AA85" i="1"/>
  <c r="AB85" i="1" s="1"/>
  <c r="AA21" i="1"/>
  <c r="AB21" i="1" s="1"/>
  <c r="AA52" i="1"/>
  <c r="AB52" i="1" s="1"/>
  <c r="AA83" i="1"/>
  <c r="AB83" i="1" s="1"/>
  <c r="AA19" i="1"/>
  <c r="AB19" i="1" s="1"/>
  <c r="AA58" i="1"/>
  <c r="AB58" i="1" s="1"/>
  <c r="AA47" i="1"/>
  <c r="AB47" i="1" s="1"/>
  <c r="AA22" i="1"/>
  <c r="AB22" i="1" s="1"/>
  <c r="AA84" i="1"/>
  <c r="AB84" i="1" s="1"/>
  <c r="AA90" i="1"/>
  <c r="AB90" i="1" s="1"/>
  <c r="AA6" i="1"/>
  <c r="AB6" i="1" s="1"/>
  <c r="AA65" i="1"/>
  <c r="AB65" i="1" s="1"/>
  <c r="AA63" i="1"/>
  <c r="AB63" i="1" s="1"/>
  <c r="AA73" i="1"/>
  <c r="AB73" i="1" s="1"/>
  <c r="AA80" i="1"/>
  <c r="AB80" i="1" s="1"/>
  <c r="AA16" i="1"/>
  <c r="AB16" i="1" s="1"/>
  <c r="AA46" i="1"/>
  <c r="AB46" i="1" s="1"/>
  <c r="AA77" i="1"/>
  <c r="AB77" i="1" s="1"/>
  <c r="AA13" i="1"/>
  <c r="AB13" i="1" s="1"/>
  <c r="AA44" i="1"/>
  <c r="AB44" i="1" s="1"/>
  <c r="AA75" i="1"/>
  <c r="AB75" i="1" s="1"/>
  <c r="AA11" i="1"/>
  <c r="AB11" i="1" s="1"/>
  <c r="AA50" i="1"/>
  <c r="AB50" i="1" s="1"/>
  <c r="AA17" i="1"/>
  <c r="AB17" i="1" s="1"/>
  <c r="AA53" i="1"/>
  <c r="AB53" i="1" s="1"/>
  <c r="AA26" i="1"/>
  <c r="AB26" i="1" s="1"/>
  <c r="AA70" i="1"/>
  <c r="AB70" i="1" s="1"/>
  <c r="AA35" i="1"/>
  <c r="AB35" i="1" s="1"/>
  <c r="AA81" i="1"/>
  <c r="AB81" i="1" s="1"/>
  <c r="AA29" i="1"/>
  <c r="AB29" i="1" s="1"/>
  <c r="AA27" i="1"/>
  <c r="AB27" i="1" s="1"/>
  <c r="AA57" i="1"/>
  <c r="AB57" i="1" s="1"/>
  <c r="AA23" i="1"/>
  <c r="AB23" i="1" s="1"/>
  <c r="AA41" i="1"/>
  <c r="AB41" i="1" s="1"/>
  <c r="AA72" i="1"/>
  <c r="AB72" i="1" s="1"/>
  <c r="AA8" i="1"/>
  <c r="AB8" i="1" s="1"/>
  <c r="AA38" i="1"/>
  <c r="AB38" i="1" s="1"/>
  <c r="AA69" i="1"/>
  <c r="AB69" i="1" s="1"/>
  <c r="AA5" i="1"/>
  <c r="AB5" i="1" s="1"/>
  <c r="AA36" i="1"/>
  <c r="AB36" i="1" s="1"/>
  <c r="AA67" i="1"/>
  <c r="AB67" i="1" s="1"/>
  <c r="AA3" i="1"/>
  <c r="AB3" i="1" s="1"/>
  <c r="AA42" i="1"/>
  <c r="AB42" i="1" s="1"/>
  <c r="AA86" i="1"/>
  <c r="AB86" i="1" s="1"/>
  <c r="AA51" i="1"/>
  <c r="AB51" i="1" s="1"/>
  <c r="AA87" i="1"/>
  <c r="AB87" i="1" s="1"/>
  <c r="AA37" i="1"/>
  <c r="AB37" i="1" s="1"/>
  <c r="AA93" i="1"/>
  <c r="AB93" i="1" s="1"/>
  <c r="AA31" i="1"/>
  <c r="AB31" i="1" s="1"/>
  <c r="AA25" i="1"/>
  <c r="AB25" i="1" s="1"/>
  <c r="AA79" i="1"/>
  <c r="AB79" i="1" s="1"/>
  <c r="AA9" i="1"/>
  <c r="AB9" i="1" s="1"/>
  <c r="AA64" i="1"/>
  <c r="AB64" i="1" s="1"/>
  <c r="AA94" i="1"/>
  <c r="AB94" i="1" s="1"/>
  <c r="AA30" i="1"/>
  <c r="AB30" i="1" s="1"/>
  <c r="AA61" i="1"/>
  <c r="AB61" i="1" s="1"/>
  <c r="AA92" i="1"/>
  <c r="AB92" i="1" s="1"/>
  <c r="AA28" i="1"/>
  <c r="AB28" i="1" s="1"/>
  <c r="AA59" i="1"/>
  <c r="AB59" i="1" s="1"/>
  <c r="AA98" i="1"/>
  <c r="AB98" i="1" s="1"/>
  <c r="AA34" i="1"/>
  <c r="AB34" i="1" s="1"/>
  <c r="AA56" i="1"/>
  <c r="AB56" i="1" s="1"/>
  <c r="AA20" i="1"/>
  <c r="AB20" i="1" s="1"/>
  <c r="AA2" i="1"/>
  <c r="AB2" i="1" s="1"/>
  <c r="AA40" i="1"/>
  <c r="AB40" i="1" s="1"/>
  <c r="AA4" i="1"/>
  <c r="AB4" i="1" s="1"/>
  <c r="AA96" i="1"/>
  <c r="AB96" i="1" s="1"/>
  <c r="AA60" i="1"/>
  <c r="AB60" i="1" s="1"/>
  <c r="AA66" i="1"/>
  <c r="AB66" i="1" s="1"/>
  <c r="AA95" i="1"/>
  <c r="AB95" i="1" s="1"/>
  <c r="AA62" i="1"/>
  <c r="AB62" i="1" s="1"/>
  <c r="AA97" i="1"/>
  <c r="AB97" i="1" s="1"/>
  <c r="AA15" i="1"/>
  <c r="AB15" i="1" s="1"/>
  <c r="AA71" i="1"/>
  <c r="AB71" i="1" s="1"/>
  <c r="AA48" i="1"/>
  <c r="AB48" i="1" s="1"/>
  <c r="AA78" i="1"/>
  <c r="AB78" i="1" s="1"/>
  <c r="AA14" i="1"/>
  <c r="AB14" i="1" s="1"/>
  <c r="AA45" i="1"/>
  <c r="AB45" i="1" s="1"/>
  <c r="AA76" i="1"/>
  <c r="AB76" i="1" s="1"/>
  <c r="AA12" i="1"/>
  <c r="AB12" i="1" s="1"/>
  <c r="AA43" i="1"/>
  <c r="AB43" i="1" s="1"/>
  <c r="AA82" i="1"/>
  <c r="AB82" i="1" s="1"/>
  <c r="AA18" i="1"/>
  <c r="AB18" i="1" s="1"/>
  <c r="AA39" i="1"/>
  <c r="AB39" i="1" s="1"/>
  <c r="AA68" i="1"/>
  <c r="AB68" i="1" s="1"/>
  <c r="AA74" i="1"/>
  <c r="AB74" i="1" s="1"/>
  <c r="AA32" i="1"/>
  <c r="AB32" i="1" s="1"/>
  <c r="AA91" i="1"/>
  <c r="AB91" i="1" s="1"/>
  <c r="AA55" i="1"/>
  <c r="AB55" i="1" s="1"/>
  <c r="AA7" i="1"/>
  <c r="AB7" i="1" s="1"/>
  <c r="V2" i="2" l="1"/>
  <c r="AC2" i="1"/>
  <c r="W2" i="2" s="1"/>
  <c r="Y2" i="2" s="1"/>
  <c r="AC57" i="1"/>
  <c r="W57" i="2" s="1"/>
  <c r="Y57" i="2" s="1"/>
  <c r="AE57" i="1"/>
  <c r="AF57" i="1" s="1"/>
  <c r="V57" i="2"/>
  <c r="X57" i="2" s="1"/>
  <c r="V76" i="2"/>
  <c r="X76" i="2" s="1"/>
  <c r="AC76" i="1"/>
  <c r="W76" i="2" s="1"/>
  <c r="Y76" i="2" s="1"/>
  <c r="AC5" i="1"/>
  <c r="V5" i="2"/>
  <c r="X5" i="2" s="1"/>
  <c r="AC74" i="1"/>
  <c r="W74" i="2" s="1"/>
  <c r="Y74" i="2" s="1"/>
  <c r="AE74" i="1"/>
  <c r="AF74" i="1" s="1"/>
  <c r="V74" i="2"/>
  <c r="X74" i="2" s="1"/>
  <c r="AE39" i="1"/>
  <c r="AF39" i="1" s="1"/>
  <c r="AC39" i="1"/>
  <c r="W39" i="2" s="1"/>
  <c r="Y39" i="2" s="1"/>
  <c r="V39" i="2"/>
  <c r="X39" i="2" s="1"/>
  <c r="AC7" i="1"/>
  <c r="V7" i="2"/>
  <c r="X7" i="2" s="1"/>
  <c r="V71" i="2"/>
  <c r="X71" i="2" s="1"/>
  <c r="AC71" i="1"/>
  <c r="W71" i="2" s="1"/>
  <c r="Y71" i="2" s="1"/>
  <c r="AE55" i="1"/>
  <c r="AF55" i="1" s="1"/>
  <c r="AC55" i="1"/>
  <c r="W55" i="2" s="1"/>
  <c r="Y55" i="2" s="1"/>
  <c r="V55" i="2"/>
  <c r="X55" i="2" s="1"/>
  <c r="AC43" i="1"/>
  <c r="W43" i="2" s="1"/>
  <c r="Y43" i="2" s="1"/>
  <c r="V43" i="2"/>
  <c r="X43" i="2" s="1"/>
  <c r="AE43" i="1"/>
  <c r="AF43" i="1" s="1"/>
  <c r="AC15" i="1"/>
  <c r="V15" i="2"/>
  <c r="X15" i="2" s="1"/>
  <c r="AC40" i="1"/>
  <c r="W40" i="2" s="1"/>
  <c r="Y40" i="2" s="1"/>
  <c r="V40" i="2"/>
  <c r="X40" i="2" s="1"/>
  <c r="AC92" i="1"/>
  <c r="W92" i="2" s="1"/>
  <c r="Y92" i="2" s="1"/>
  <c r="AE92" i="1"/>
  <c r="AF92" i="1" s="1"/>
  <c r="V92" i="2"/>
  <c r="X92" i="2" s="1"/>
  <c r="AC31" i="1"/>
  <c r="W31" i="2" s="1"/>
  <c r="Y31" i="2" s="1"/>
  <c r="V31" i="2"/>
  <c r="X31" i="2" s="1"/>
  <c r="V67" i="2"/>
  <c r="X67" i="2" s="1"/>
  <c r="AC67" i="1"/>
  <c r="AC23" i="1"/>
  <c r="W23" i="2" s="1"/>
  <c r="Y23" i="2" s="1"/>
  <c r="AE23" i="1"/>
  <c r="AF23" i="1" s="1"/>
  <c r="V23" i="2"/>
  <c r="X23" i="2" s="1"/>
  <c r="V53" i="2"/>
  <c r="X53" i="2" s="1"/>
  <c r="AC53" i="1"/>
  <c r="W53" i="2" s="1"/>
  <c r="Y53" i="2" s="1"/>
  <c r="AE53" i="1"/>
  <c r="AF53" i="1" s="1"/>
  <c r="V46" i="2"/>
  <c r="X46" i="2" s="1"/>
  <c r="AC46" i="1"/>
  <c r="W46" i="2" s="1"/>
  <c r="Y46" i="2" s="1"/>
  <c r="AC84" i="1"/>
  <c r="W84" i="2" s="1"/>
  <c r="Y84" i="2" s="1"/>
  <c r="AE84" i="1"/>
  <c r="AF84" i="1" s="1"/>
  <c r="V84" i="2"/>
  <c r="X84" i="2" s="1"/>
  <c r="V85" i="2"/>
  <c r="X85" i="2" s="1"/>
  <c r="AE85" i="1"/>
  <c r="AF85" i="1" s="1"/>
  <c r="AC85" i="1"/>
  <c r="W85" i="2" s="1"/>
  <c r="Y85" i="2" s="1"/>
  <c r="AC97" i="1"/>
  <c r="W97" i="2" s="1"/>
  <c r="Y97" i="2" s="1"/>
  <c r="V97" i="2"/>
  <c r="X97" i="2" s="1"/>
  <c r="V36" i="2"/>
  <c r="X36" i="2" s="1"/>
  <c r="AE36" i="1"/>
  <c r="AF36" i="1" s="1"/>
  <c r="AC36" i="1"/>
  <c r="W36" i="2" s="1"/>
  <c r="Y36" i="2" s="1"/>
  <c r="AC32" i="1"/>
  <c r="V32" i="2"/>
  <c r="X32" i="2" s="1"/>
  <c r="AC37" i="1"/>
  <c r="V37" i="2"/>
  <c r="X37" i="2" s="1"/>
  <c r="AC47" i="1"/>
  <c r="W47" i="2" s="1"/>
  <c r="Y47" i="2" s="1"/>
  <c r="AE47" i="1"/>
  <c r="AF47" i="1" s="1"/>
  <c r="V47" i="2"/>
  <c r="X47" i="2" s="1"/>
  <c r="AC24" i="1"/>
  <c r="V24" i="2"/>
  <c r="X24" i="2" s="1"/>
  <c r="AC87" i="1"/>
  <c r="W87" i="2" s="1"/>
  <c r="Y87" i="2" s="1"/>
  <c r="V87" i="2"/>
  <c r="X87" i="2" s="1"/>
  <c r="AC29" i="1"/>
  <c r="V29" i="2"/>
  <c r="X29" i="2" s="1"/>
  <c r="V73" i="2"/>
  <c r="X73" i="2" s="1"/>
  <c r="AC73" i="1"/>
  <c r="W73" i="2" s="1"/>
  <c r="Y73" i="2" s="1"/>
  <c r="AE73" i="1"/>
  <c r="AF73" i="1" s="1"/>
  <c r="AC58" i="1"/>
  <c r="W58" i="2" s="1"/>
  <c r="Y58" i="2" s="1"/>
  <c r="V58" i="2"/>
  <c r="X58" i="2" s="1"/>
  <c r="V88" i="2"/>
  <c r="X88" i="2" s="1"/>
  <c r="AC88" i="1"/>
  <c r="W88" i="2" s="1"/>
  <c r="Y88" i="2" s="1"/>
  <c r="V61" i="2"/>
  <c r="X61" i="2" s="1"/>
  <c r="AC61" i="1"/>
  <c r="W61" i="2" s="1"/>
  <c r="Y61" i="2" s="1"/>
  <c r="V22" i="2"/>
  <c r="X22" i="2" s="1"/>
  <c r="AC22" i="1"/>
  <c r="W22" i="2" s="1"/>
  <c r="Y22" i="2" s="1"/>
  <c r="AE22" i="1"/>
  <c r="AF22" i="1" s="1"/>
  <c r="AC62" i="1"/>
  <c r="W62" i="2" s="1"/>
  <c r="Y62" i="2" s="1"/>
  <c r="AE62" i="1"/>
  <c r="AF62" i="1" s="1"/>
  <c r="V62" i="2"/>
  <c r="X62" i="2" s="1"/>
  <c r="V50" i="2"/>
  <c r="X50" i="2" s="1"/>
  <c r="AC50" i="1"/>
  <c r="W50" i="2" s="1"/>
  <c r="Y50" i="2" s="1"/>
  <c r="V45" i="2"/>
  <c r="X45" i="2" s="1"/>
  <c r="AC45" i="1"/>
  <c r="W45" i="2" s="1"/>
  <c r="Y45" i="2" s="1"/>
  <c r="AE45" i="1"/>
  <c r="AF45" i="1" s="1"/>
  <c r="AC56" i="1"/>
  <c r="V56" i="2"/>
  <c r="X56" i="2" s="1"/>
  <c r="V94" i="2"/>
  <c r="X94" i="2" s="1"/>
  <c r="AC94" i="1"/>
  <c r="V69" i="2"/>
  <c r="X69" i="2" s="1"/>
  <c r="AC69" i="1"/>
  <c r="W69" i="2" s="1"/>
  <c r="Y69" i="2" s="1"/>
  <c r="AC11" i="1"/>
  <c r="W11" i="2" s="1"/>
  <c r="Y11" i="2" s="1"/>
  <c r="V11" i="2"/>
  <c r="X11" i="2" s="1"/>
  <c r="V68" i="2"/>
  <c r="X68" i="2" s="1"/>
  <c r="AC68" i="1"/>
  <c r="W68" i="2" s="1"/>
  <c r="Y68" i="2" s="1"/>
  <c r="AC14" i="1"/>
  <c r="W14" i="2" s="1"/>
  <c r="Y14" i="2" s="1"/>
  <c r="V14" i="2"/>
  <c r="X14" i="2" s="1"/>
  <c r="AE14" i="1"/>
  <c r="AF14" i="1" s="1"/>
  <c r="AC66" i="1"/>
  <c r="W66" i="2" s="1"/>
  <c r="Y66" i="2" s="1"/>
  <c r="V66" i="2"/>
  <c r="X66" i="2" s="1"/>
  <c r="AC34" i="1"/>
  <c r="V34" i="2"/>
  <c r="X34" i="2" s="1"/>
  <c r="V64" i="2"/>
  <c r="X64" i="2" s="1"/>
  <c r="AC64" i="1"/>
  <c r="W64" i="2" s="1"/>
  <c r="Y64" i="2" s="1"/>
  <c r="AC51" i="1"/>
  <c r="V51" i="2"/>
  <c r="X51" i="2" s="1"/>
  <c r="AC38" i="1"/>
  <c r="W38" i="2" s="1"/>
  <c r="Y38" i="2" s="1"/>
  <c r="V38" i="2"/>
  <c r="X38" i="2" s="1"/>
  <c r="AC81" i="1"/>
  <c r="V81" i="2"/>
  <c r="X81" i="2" s="1"/>
  <c r="AC75" i="1"/>
  <c r="V75" i="2"/>
  <c r="X75" i="2" s="1"/>
  <c r="AC63" i="1"/>
  <c r="V63" i="2"/>
  <c r="X63" i="2" s="1"/>
  <c r="V19" i="2"/>
  <c r="X19" i="2" s="1"/>
  <c r="AC19" i="1"/>
  <c r="W19" i="2" s="1"/>
  <c r="Y19" i="2" s="1"/>
  <c r="AC49" i="1"/>
  <c r="W49" i="2" s="1"/>
  <c r="Y49" i="2" s="1"/>
  <c r="AE49" i="1"/>
  <c r="AF49" i="1" s="1"/>
  <c r="V49" i="2"/>
  <c r="X49" i="2" s="1"/>
  <c r="V12" i="2"/>
  <c r="X12" i="2" s="1"/>
  <c r="AC12" i="1"/>
  <c r="V16" i="2"/>
  <c r="X16" i="2" s="1"/>
  <c r="AC16" i="1"/>
  <c r="V27" i="2"/>
  <c r="X27" i="2" s="1"/>
  <c r="AC27" i="1"/>
  <c r="W27" i="2" s="1"/>
  <c r="Y27" i="2" s="1"/>
  <c r="AE27" i="1"/>
  <c r="AF27" i="1" s="1"/>
  <c r="AC78" i="1"/>
  <c r="W78" i="2" s="1"/>
  <c r="Y78" i="2" s="1"/>
  <c r="V78" i="2"/>
  <c r="X78" i="2" s="1"/>
  <c r="V9" i="2"/>
  <c r="X9" i="2" s="1"/>
  <c r="AC9" i="1"/>
  <c r="W9" i="2" s="1"/>
  <c r="Y9" i="2" s="1"/>
  <c r="V35" i="2"/>
  <c r="X35" i="2" s="1"/>
  <c r="AC35" i="1"/>
  <c r="W35" i="2" s="1"/>
  <c r="Y35" i="2" s="1"/>
  <c r="AE35" i="1"/>
  <c r="AF35" i="1" s="1"/>
  <c r="AC65" i="1"/>
  <c r="V65" i="2"/>
  <c r="X65" i="2" s="1"/>
  <c r="AC83" i="1"/>
  <c r="W83" i="2" s="1"/>
  <c r="Y83" i="2" s="1"/>
  <c r="V83" i="2"/>
  <c r="X83" i="2" s="1"/>
  <c r="AC89" i="1"/>
  <c r="W89" i="2" s="1"/>
  <c r="Y89" i="2" s="1"/>
  <c r="AE89" i="1"/>
  <c r="AF89" i="1" s="1"/>
  <c r="V89" i="2"/>
  <c r="X89" i="2" s="1"/>
  <c r="AC93" i="1"/>
  <c r="V93" i="2"/>
  <c r="X93" i="2" s="1"/>
  <c r="AC54" i="1"/>
  <c r="W54" i="2" s="1"/>
  <c r="Y54" i="2" s="1"/>
  <c r="V54" i="2"/>
  <c r="X54" i="2" s="1"/>
  <c r="AC20" i="1"/>
  <c r="W20" i="2" s="1"/>
  <c r="Y20" i="2" s="1"/>
  <c r="V20" i="2"/>
  <c r="X20" i="2" s="1"/>
  <c r="AE20" i="1"/>
  <c r="AF20" i="1" s="1"/>
  <c r="V80" i="2"/>
  <c r="X80" i="2" s="1"/>
  <c r="AC80" i="1"/>
  <c r="W80" i="2" s="1"/>
  <c r="Y80" i="2" s="1"/>
  <c r="AC60" i="1"/>
  <c r="W60" i="2" s="1"/>
  <c r="Y60" i="2" s="1"/>
  <c r="V60" i="2"/>
  <c r="X60" i="2" s="1"/>
  <c r="AE60" i="1"/>
  <c r="AF60" i="1" s="1"/>
  <c r="AC98" i="1"/>
  <c r="V98" i="2"/>
  <c r="X98" i="2" s="1"/>
  <c r="V86" i="2"/>
  <c r="X86" i="2" s="1"/>
  <c r="AE86" i="1"/>
  <c r="AF86" i="1" s="1"/>
  <c r="AC86" i="1"/>
  <c r="W86" i="2" s="1"/>
  <c r="Y86" i="2" s="1"/>
  <c r="V8" i="2"/>
  <c r="X8" i="2" s="1"/>
  <c r="AC8" i="1"/>
  <c r="W8" i="2" s="1"/>
  <c r="Y8" i="2" s="1"/>
  <c r="V44" i="2"/>
  <c r="X44" i="2" s="1"/>
  <c r="AE44" i="1"/>
  <c r="AF44" i="1" s="1"/>
  <c r="AC44" i="1"/>
  <c r="W44" i="2" s="1"/>
  <c r="Y44" i="2" s="1"/>
  <c r="AC18" i="1"/>
  <c r="W18" i="2" s="1"/>
  <c r="Y18" i="2" s="1"/>
  <c r="V18" i="2"/>
  <c r="X18" i="2" s="1"/>
  <c r="V48" i="2"/>
  <c r="X48" i="2" s="1"/>
  <c r="AC48" i="1"/>
  <c r="W48" i="2" s="1"/>
  <c r="Y48" i="2" s="1"/>
  <c r="AC96" i="1"/>
  <c r="V96" i="2"/>
  <c r="X96" i="2" s="1"/>
  <c r="AC59" i="1"/>
  <c r="W59" i="2" s="1"/>
  <c r="Y59" i="2" s="1"/>
  <c r="V59" i="2"/>
  <c r="X59" i="2" s="1"/>
  <c r="V79" i="2"/>
  <c r="X79" i="2" s="1"/>
  <c r="AC79" i="1"/>
  <c r="W79" i="2" s="1"/>
  <c r="Y79" i="2" s="1"/>
  <c r="AE79" i="1"/>
  <c r="AF79" i="1" s="1"/>
  <c r="V42" i="2"/>
  <c r="X42" i="2" s="1"/>
  <c r="AC42" i="1"/>
  <c r="W42" i="2" s="1"/>
  <c r="Y42" i="2" s="1"/>
  <c r="AE42" i="1"/>
  <c r="AF42" i="1" s="1"/>
  <c r="AC72" i="1"/>
  <c r="V72" i="2"/>
  <c r="X72" i="2" s="1"/>
  <c r="AC70" i="1"/>
  <c r="W70" i="2" s="1"/>
  <c r="Y70" i="2" s="1"/>
  <c r="AE70" i="1"/>
  <c r="AF70" i="1" s="1"/>
  <c r="V70" i="2"/>
  <c r="X70" i="2" s="1"/>
  <c r="V13" i="2"/>
  <c r="X13" i="2" s="1"/>
  <c r="AC13" i="1"/>
  <c r="W13" i="2" s="1"/>
  <c r="Y13" i="2" s="1"/>
  <c r="AE13" i="1"/>
  <c r="AF13" i="1" s="1"/>
  <c r="AC6" i="1"/>
  <c r="W6" i="2" s="1"/>
  <c r="Y6" i="2" s="1"/>
  <c r="V6" i="2"/>
  <c r="X6" i="2" s="1"/>
  <c r="V52" i="2"/>
  <c r="X52" i="2" s="1"/>
  <c r="AC52" i="1"/>
  <c r="W52" i="2" s="1"/>
  <c r="Y52" i="2" s="1"/>
  <c r="AE52" i="1"/>
  <c r="AF52" i="1" s="1"/>
  <c r="AC33" i="1"/>
  <c r="W33" i="2" s="1"/>
  <c r="Y33" i="2" s="1"/>
  <c r="AE33" i="1"/>
  <c r="AF33" i="1" s="1"/>
  <c r="V33" i="2"/>
  <c r="X33" i="2" s="1"/>
  <c r="AC91" i="1"/>
  <c r="W91" i="2" s="1"/>
  <c r="Y91" i="2" s="1"/>
  <c r="V91" i="2"/>
  <c r="X91" i="2" s="1"/>
  <c r="AC17" i="1"/>
  <c r="W17" i="2" s="1"/>
  <c r="Y17" i="2" s="1"/>
  <c r="AE17" i="1"/>
  <c r="AF17" i="1" s="1"/>
  <c r="V17" i="2"/>
  <c r="X17" i="2" s="1"/>
  <c r="AC30" i="1"/>
  <c r="V30" i="2"/>
  <c r="X30" i="2" s="1"/>
  <c r="AC95" i="1"/>
  <c r="V95" i="2"/>
  <c r="X95" i="2" s="1"/>
  <c r="AC82" i="1"/>
  <c r="W82" i="2" s="1"/>
  <c r="Y82" i="2" s="1"/>
  <c r="V82" i="2"/>
  <c r="X82" i="2" s="1"/>
  <c r="AE82" i="1"/>
  <c r="AF82" i="1" s="1"/>
  <c r="AE4" i="1"/>
  <c r="AF4" i="1" s="1"/>
  <c r="V4" i="2"/>
  <c r="X4" i="2" s="1"/>
  <c r="AC4" i="1"/>
  <c r="W4" i="2" s="1"/>
  <c r="Y4" i="2" s="1"/>
  <c r="V28" i="2"/>
  <c r="X28" i="2" s="1"/>
  <c r="AC28" i="1"/>
  <c r="W28" i="2" s="1"/>
  <c r="Y28" i="2" s="1"/>
  <c r="AE28" i="1"/>
  <c r="AF28" i="1" s="1"/>
  <c r="AC25" i="1"/>
  <c r="V25" i="2"/>
  <c r="X25" i="2" s="1"/>
  <c r="AE3" i="1"/>
  <c r="AF3" i="1" s="1"/>
  <c r="V3" i="2"/>
  <c r="X3" i="2" s="1"/>
  <c r="AC3" i="1"/>
  <c r="W3" i="2" s="1"/>
  <c r="Y3" i="2" s="1"/>
  <c r="AC41" i="1"/>
  <c r="V41" i="2"/>
  <c r="X41" i="2" s="1"/>
  <c r="AC26" i="1"/>
  <c r="W26" i="2" s="1"/>
  <c r="Y26" i="2" s="1"/>
  <c r="AE26" i="1"/>
  <c r="AF26" i="1" s="1"/>
  <c r="V26" i="2"/>
  <c r="X26" i="2" s="1"/>
  <c r="V77" i="2"/>
  <c r="X77" i="2" s="1"/>
  <c r="AC77" i="1"/>
  <c r="W77" i="2" s="1"/>
  <c r="Y77" i="2" s="1"/>
  <c r="AC90" i="1"/>
  <c r="V90" i="2"/>
  <c r="X90" i="2" s="1"/>
  <c r="AC21" i="1"/>
  <c r="W21" i="2" s="1"/>
  <c r="Y21" i="2" s="1"/>
  <c r="AE21" i="1"/>
  <c r="AF21" i="1" s="1"/>
  <c r="V21" i="2"/>
  <c r="X21" i="2" s="1"/>
  <c r="AC10" i="1"/>
  <c r="W10" i="2" s="1"/>
  <c r="Y10" i="2" s="1"/>
  <c r="V10" i="2"/>
  <c r="X10" i="2" s="1"/>
  <c r="AE64" i="1" l="1"/>
  <c r="AF64" i="1" s="1"/>
  <c r="AE77" i="1"/>
  <c r="AF77" i="1" s="1"/>
  <c r="AE72" i="1"/>
  <c r="AF72" i="1" s="1"/>
  <c r="W72" i="2"/>
  <c r="Y72" i="2" s="1"/>
  <c r="AE18" i="1"/>
  <c r="AF18" i="1" s="1"/>
  <c r="AE80" i="1"/>
  <c r="AF80" i="1" s="1"/>
  <c r="AE38" i="1"/>
  <c r="AF38" i="1" s="1"/>
  <c r="AE34" i="1"/>
  <c r="AF34" i="1" s="1"/>
  <c r="W34" i="2"/>
  <c r="Y34" i="2" s="1"/>
  <c r="AE94" i="1"/>
  <c r="AF94" i="1" s="1"/>
  <c r="W94" i="2"/>
  <c r="Y94" i="2" s="1"/>
  <c r="AE61" i="1"/>
  <c r="AF61" i="1" s="1"/>
  <c r="AE40" i="1"/>
  <c r="AF40" i="1" s="1"/>
  <c r="AE96" i="1"/>
  <c r="AF96" i="1" s="1"/>
  <c r="W96" i="2"/>
  <c r="Y96" i="2" s="1"/>
  <c r="AE30" i="1"/>
  <c r="AF30" i="1" s="1"/>
  <c r="W30" i="2"/>
  <c r="Y30" i="2" s="1"/>
  <c r="AE32" i="1"/>
  <c r="AF32" i="1" s="1"/>
  <c r="W32" i="2"/>
  <c r="Y32" i="2" s="1"/>
  <c r="AE78" i="1"/>
  <c r="AF78" i="1" s="1"/>
  <c r="AE12" i="1"/>
  <c r="AF12" i="1" s="1"/>
  <c r="W12" i="2"/>
  <c r="Y12" i="2" s="1"/>
  <c r="AE10" i="1"/>
  <c r="AF10" i="1" s="1"/>
  <c r="AE93" i="1"/>
  <c r="AF93" i="1" s="1"/>
  <c r="W93" i="2"/>
  <c r="Y93" i="2" s="1"/>
  <c r="AE65" i="1"/>
  <c r="AF65" i="1" s="1"/>
  <c r="W65" i="2"/>
  <c r="Y65" i="2" s="1"/>
  <c r="AE63" i="1"/>
  <c r="AF63" i="1" s="1"/>
  <c r="W63" i="2"/>
  <c r="Y63" i="2" s="1"/>
  <c r="AE66" i="1"/>
  <c r="AF66" i="1" s="1"/>
  <c r="AE11" i="1"/>
  <c r="AF11" i="1" s="1"/>
  <c r="AE24" i="1"/>
  <c r="AF24" i="1" s="1"/>
  <c r="W24" i="2"/>
  <c r="Y24" i="2" s="1"/>
  <c r="AE31" i="1"/>
  <c r="AF31" i="1" s="1"/>
  <c r="AE15" i="1"/>
  <c r="AF15" i="1" s="1"/>
  <c r="W15" i="2"/>
  <c r="Y15" i="2" s="1"/>
  <c r="AE71" i="1"/>
  <c r="AF71" i="1" s="1"/>
  <c r="AE51" i="1"/>
  <c r="AF51" i="1" s="1"/>
  <c r="W51" i="2"/>
  <c r="Y51" i="2" s="1"/>
  <c r="AE98" i="1"/>
  <c r="AF98" i="1" s="1"/>
  <c r="W98" i="2"/>
  <c r="Y98" i="2" s="1"/>
  <c r="AE91" i="1"/>
  <c r="AF91" i="1" s="1"/>
  <c r="AE9" i="1"/>
  <c r="AF9" i="1" s="1"/>
  <c r="AE19" i="1"/>
  <c r="AF19" i="1" s="1"/>
  <c r="AE81" i="1"/>
  <c r="AF81" i="1" s="1"/>
  <c r="W81" i="2"/>
  <c r="Y81" i="2" s="1"/>
  <c r="AE58" i="1"/>
  <c r="AF58" i="1" s="1"/>
  <c r="AE87" i="1"/>
  <c r="AF87" i="1" s="1"/>
  <c r="AE97" i="1"/>
  <c r="AF97" i="1" s="1"/>
  <c r="AE46" i="1"/>
  <c r="AF46" i="1" s="1"/>
  <c r="AE7" i="1"/>
  <c r="AF7" i="1" s="1"/>
  <c r="W7" i="2"/>
  <c r="Y7" i="2" s="1"/>
  <c r="AE5" i="1"/>
  <c r="AF5" i="1" s="1"/>
  <c r="W5" i="2"/>
  <c r="Y5" i="2" s="1"/>
  <c r="AE2" i="1"/>
  <c r="AF2" i="1" s="1"/>
  <c r="T99" i="1" s="1"/>
  <c r="AE56" i="1"/>
  <c r="AF56" i="1" s="1"/>
  <c r="W56" i="2"/>
  <c r="Y56" i="2" s="1"/>
  <c r="AE25" i="1"/>
  <c r="AF25" i="1" s="1"/>
  <c r="W25" i="2"/>
  <c r="Y25" i="2" s="1"/>
  <c r="AE75" i="1"/>
  <c r="AF75" i="1" s="1"/>
  <c r="W75" i="2"/>
  <c r="Y75" i="2" s="1"/>
  <c r="AE48" i="1"/>
  <c r="AF48" i="1" s="1"/>
  <c r="AE88" i="1"/>
  <c r="AF88" i="1" s="1"/>
  <c r="AE29" i="1"/>
  <c r="AF29" i="1" s="1"/>
  <c r="W29" i="2"/>
  <c r="Y29" i="2" s="1"/>
  <c r="AE90" i="1"/>
  <c r="AF90" i="1" s="1"/>
  <c r="W90" i="2"/>
  <c r="Y90" i="2" s="1"/>
  <c r="AE41" i="1"/>
  <c r="AF41" i="1" s="1"/>
  <c r="W41" i="2"/>
  <c r="Y41" i="2" s="1"/>
  <c r="AE95" i="1"/>
  <c r="AF95" i="1" s="1"/>
  <c r="W95" i="2"/>
  <c r="Y95" i="2" s="1"/>
  <c r="AE6" i="1"/>
  <c r="AF6" i="1" s="1"/>
  <c r="AE59" i="1"/>
  <c r="AF59" i="1" s="1"/>
  <c r="AE8" i="1"/>
  <c r="AF8" i="1" s="1"/>
  <c r="AE54" i="1"/>
  <c r="AF54" i="1" s="1"/>
  <c r="AE83" i="1"/>
  <c r="AF83" i="1" s="1"/>
  <c r="AE16" i="1"/>
  <c r="AF16" i="1" s="1"/>
  <c r="W16" i="2"/>
  <c r="Y16" i="2" s="1"/>
  <c r="AE68" i="1"/>
  <c r="AF68" i="1" s="1"/>
  <c r="AE69" i="1"/>
  <c r="AF69" i="1" s="1"/>
  <c r="AE50" i="1"/>
  <c r="AF50" i="1" s="1"/>
  <c r="AE37" i="1"/>
  <c r="AF37" i="1" s="1"/>
  <c r="W37" i="2"/>
  <c r="Y37" i="2" s="1"/>
  <c r="AE67" i="1"/>
  <c r="AF67" i="1" s="1"/>
  <c r="W67" i="2"/>
  <c r="Y67" i="2" s="1"/>
  <c r="AE76" i="1"/>
  <c r="AF76" i="1" s="1"/>
  <c r="X2" i="2"/>
  <c r="C102" i="2" s="1"/>
  <c r="S102" i="2"/>
  <c r="N102" i="2"/>
  <c r="O102" i="2"/>
  <c r="P102" i="2"/>
  <c r="Q102" i="2"/>
  <c r="R102" i="2"/>
  <c r="T103" i="1" l="1"/>
  <c r="T102" i="1"/>
  <c r="C103" i="2"/>
  <c r="Z3" i="2"/>
  <c r="AB3" i="2" s="1"/>
  <c r="Z18" i="2"/>
  <c r="AB18" i="2" s="1"/>
  <c r="Z51" i="2"/>
  <c r="AB51" i="2" s="1"/>
  <c r="Z66" i="2"/>
  <c r="AB66" i="2" s="1"/>
  <c r="Z74" i="2"/>
  <c r="AB74" i="2" s="1"/>
  <c r="Z88" i="2"/>
  <c r="AB88" i="2" s="1"/>
  <c r="Z10" i="2"/>
  <c r="AB10" i="2" s="1"/>
  <c r="Z96" i="2"/>
  <c r="AB96" i="2" s="1"/>
  <c r="Z24" i="2"/>
  <c r="AB24" i="2" s="1"/>
  <c r="Z32" i="2"/>
  <c r="AB32" i="2" s="1"/>
  <c r="Z43" i="2"/>
  <c r="AB43" i="2" s="1"/>
  <c r="Z83" i="2"/>
  <c r="AB83" i="2" s="1"/>
  <c r="Z2" i="2"/>
  <c r="AB2" i="2" s="1"/>
  <c r="Z34" i="2"/>
  <c r="AB34" i="2" s="1"/>
  <c r="Z67" i="2"/>
  <c r="AB67" i="2" s="1"/>
  <c r="Z89" i="2"/>
  <c r="AB89" i="2" s="1"/>
  <c r="Z25" i="2"/>
  <c r="AB25" i="2" s="1"/>
  <c r="Z55" i="2"/>
  <c r="AB55" i="2" s="1"/>
  <c r="Z86" i="2"/>
  <c r="AB86" i="2" s="1"/>
  <c r="Z22" i="2"/>
  <c r="AB22" i="2" s="1"/>
  <c r="Z53" i="2"/>
  <c r="AB53" i="2" s="1"/>
  <c r="Z84" i="2"/>
  <c r="AB84" i="2" s="1"/>
  <c r="Z20" i="2"/>
  <c r="AB20" i="2" s="1"/>
  <c r="Z50" i="2"/>
  <c r="AB50" i="2" s="1"/>
  <c r="Z57" i="2"/>
  <c r="AB57" i="2" s="1"/>
  <c r="Z23" i="2"/>
  <c r="AB23" i="2" s="1"/>
  <c r="Z85" i="2"/>
  <c r="AB85" i="2" s="1"/>
  <c r="Z36" i="2"/>
  <c r="AB36" i="2" s="1"/>
  <c r="Z28" i="2"/>
  <c r="AB28" i="2" s="1"/>
  <c r="Z64" i="2"/>
  <c r="AB64" i="2" s="1"/>
  <c r="Z80" i="2"/>
  <c r="AB80" i="2" s="1"/>
  <c r="Z11" i="2"/>
  <c r="AB11" i="2" s="1"/>
  <c r="Z48" i="2"/>
  <c r="AB48" i="2" s="1"/>
  <c r="Z81" i="2"/>
  <c r="AB81" i="2" s="1"/>
  <c r="Z17" i="2"/>
  <c r="AB17" i="2" s="1"/>
  <c r="Z47" i="2"/>
  <c r="AB47" i="2" s="1"/>
  <c r="Z78" i="2"/>
  <c r="AB78" i="2" s="1"/>
  <c r="Z14" i="2"/>
  <c r="AB14" i="2" s="1"/>
  <c r="Z45" i="2"/>
  <c r="AB45" i="2" s="1"/>
  <c r="Z76" i="2"/>
  <c r="AB76" i="2" s="1"/>
  <c r="Z12" i="2"/>
  <c r="AB12" i="2" s="1"/>
  <c r="Z82" i="2"/>
  <c r="AB82" i="2" s="1"/>
  <c r="Z54" i="2"/>
  <c r="AB54" i="2" s="1"/>
  <c r="Z75" i="2"/>
  <c r="AB75" i="2" s="1"/>
  <c r="Z5" i="2"/>
  <c r="AB5" i="2" s="1"/>
  <c r="Z56" i="2"/>
  <c r="AB56" i="2" s="1"/>
  <c r="Z33" i="2"/>
  <c r="AB33" i="2" s="1"/>
  <c r="Z30" i="2"/>
  <c r="AB30" i="2" s="1"/>
  <c r="Z42" i="2"/>
  <c r="AB42" i="2" s="1"/>
  <c r="Z58" i="2"/>
  <c r="AB58" i="2" s="1"/>
  <c r="Z91" i="2"/>
  <c r="AB91" i="2" s="1"/>
  <c r="Z26" i="2"/>
  <c r="AB26" i="2" s="1"/>
  <c r="Z73" i="2"/>
  <c r="AB73" i="2" s="1"/>
  <c r="Z9" i="2"/>
  <c r="AB9" i="2" s="1"/>
  <c r="Z39" i="2"/>
  <c r="AB39" i="2" s="1"/>
  <c r="Z70" i="2"/>
  <c r="AB70" i="2" s="1"/>
  <c r="Z6" i="2"/>
  <c r="AB6" i="2" s="1"/>
  <c r="Z37" i="2"/>
  <c r="AB37" i="2" s="1"/>
  <c r="Z68" i="2"/>
  <c r="AB68" i="2" s="1"/>
  <c r="Z21" i="2"/>
  <c r="AB21" i="2" s="1"/>
  <c r="Z41" i="2"/>
  <c r="AB41" i="2" s="1"/>
  <c r="Z38" i="2"/>
  <c r="AB38" i="2" s="1"/>
  <c r="Z90" i="2"/>
  <c r="AB90" i="2" s="1"/>
  <c r="Z92" i="2"/>
  <c r="AB92" i="2" s="1"/>
  <c r="Z19" i="2"/>
  <c r="AB19" i="2" s="1"/>
  <c r="Z35" i="2"/>
  <c r="AB35" i="2" s="1"/>
  <c r="Z72" i="2"/>
  <c r="AB72" i="2" s="1"/>
  <c r="Z65" i="2"/>
  <c r="AB65" i="2" s="1"/>
  <c r="Z95" i="2"/>
  <c r="AB95" i="2" s="1"/>
  <c r="Z31" i="2"/>
  <c r="AB31" i="2" s="1"/>
  <c r="Z62" i="2"/>
  <c r="AB62" i="2" s="1"/>
  <c r="Z93" i="2"/>
  <c r="AB93" i="2" s="1"/>
  <c r="Z29" i="2"/>
  <c r="AB29" i="2" s="1"/>
  <c r="Z60" i="2"/>
  <c r="AB60" i="2" s="1"/>
  <c r="Z16" i="2"/>
  <c r="AB16" i="2" s="1"/>
  <c r="Z87" i="2"/>
  <c r="AB87" i="2" s="1"/>
  <c r="Z52" i="2"/>
  <c r="AB52" i="2" s="1"/>
  <c r="Z40" i="2"/>
  <c r="AB40" i="2" s="1"/>
  <c r="Z71" i="2"/>
  <c r="AB71" i="2" s="1"/>
  <c r="Z69" i="2"/>
  <c r="AB69" i="2" s="1"/>
  <c r="Z4" i="2"/>
  <c r="Z97" i="2"/>
  <c r="AB97" i="2" s="1"/>
  <c r="Z63" i="2"/>
  <c r="AB63" i="2" s="1"/>
  <c r="Z61" i="2"/>
  <c r="AB61" i="2" s="1"/>
  <c r="Z59" i="2"/>
  <c r="AB59" i="2" s="1"/>
  <c r="Z98" i="2"/>
  <c r="AB98" i="2" s="1"/>
  <c r="Z27" i="2"/>
  <c r="AB27" i="2" s="1"/>
  <c r="Z49" i="2"/>
  <c r="AB49" i="2" s="1"/>
  <c r="Z79" i="2"/>
  <c r="AB79" i="2" s="1"/>
  <c r="Z15" i="2"/>
  <c r="AB15" i="2" s="1"/>
  <c r="Z46" i="2"/>
  <c r="AB46" i="2" s="1"/>
  <c r="Z77" i="2"/>
  <c r="AB77" i="2" s="1"/>
  <c r="Z13" i="2"/>
  <c r="AB13" i="2" s="1"/>
  <c r="Z44" i="2"/>
  <c r="AB44" i="2" s="1"/>
  <c r="Z8" i="2"/>
  <c r="AB8" i="2" s="1"/>
  <c r="Z7" i="2"/>
  <c r="AB7" i="2" s="1"/>
  <c r="Z94" i="2"/>
  <c r="AB94" i="2" s="1"/>
  <c r="V44" i="3" l="1"/>
  <c r="X44" i="3" s="1"/>
  <c r="AD44" i="2"/>
  <c r="AD44" i="3"/>
  <c r="AC44" i="2"/>
  <c r="W44" i="3" s="1"/>
  <c r="Y44" i="3" s="1"/>
  <c r="AD9" i="3"/>
  <c r="AD9" i="2"/>
  <c r="V9" i="3"/>
  <c r="X9" i="3" s="1"/>
  <c r="AC9" i="2"/>
  <c r="W9" i="3" s="1"/>
  <c r="Y9" i="3" s="1"/>
  <c r="AF8" i="2"/>
  <c r="AG7" i="2" s="1"/>
  <c r="AD14" i="3"/>
  <c r="AD14" i="2"/>
  <c r="AC14" i="2"/>
  <c r="W14" i="3" s="1"/>
  <c r="Y14" i="3" s="1"/>
  <c r="V14" i="3"/>
  <c r="X14" i="3" s="1"/>
  <c r="AF13" i="2"/>
  <c r="AG12" i="2" s="1"/>
  <c r="V84" i="3"/>
  <c r="X84" i="3" s="1"/>
  <c r="AD84" i="2"/>
  <c r="AC84" i="2"/>
  <c r="W84" i="3" s="1"/>
  <c r="Y84" i="3" s="1"/>
  <c r="AD84" i="3"/>
  <c r="V13" i="3"/>
  <c r="X13" i="3" s="1"/>
  <c r="AD13" i="2"/>
  <c r="AC13" i="2"/>
  <c r="W13" i="3" s="1"/>
  <c r="Y13" i="3" s="1"/>
  <c r="AD13" i="3"/>
  <c r="AD59" i="2"/>
  <c r="AC59" i="2"/>
  <c r="W59" i="3" s="1"/>
  <c r="Y59" i="3" s="1"/>
  <c r="V59" i="3"/>
  <c r="X59" i="3" s="1"/>
  <c r="AD59" i="3"/>
  <c r="AF58" i="2"/>
  <c r="AG57" i="2" s="1"/>
  <c r="V52" i="3"/>
  <c r="X52" i="3" s="1"/>
  <c r="AD52" i="2"/>
  <c r="AC52" i="2"/>
  <c r="W52" i="3" s="1"/>
  <c r="Y52" i="3" s="1"/>
  <c r="AD52" i="3"/>
  <c r="AF51" i="2"/>
  <c r="AG50" i="2" s="1"/>
  <c r="AD95" i="2"/>
  <c r="AC95" i="2"/>
  <c r="W95" i="3" s="1"/>
  <c r="Y95" i="3" s="1"/>
  <c r="V95" i="3"/>
  <c r="X95" i="3" s="1"/>
  <c r="AD95" i="3"/>
  <c r="AF94" i="2"/>
  <c r="AG93" i="2" s="1"/>
  <c r="V41" i="3"/>
  <c r="X41" i="3" s="1"/>
  <c r="AD41" i="2"/>
  <c r="AD41" i="3"/>
  <c r="AC41" i="2"/>
  <c r="V73" i="3"/>
  <c r="X73" i="3" s="1"/>
  <c r="AD73" i="2"/>
  <c r="AC73" i="2"/>
  <c r="AD73" i="3"/>
  <c r="AD5" i="2"/>
  <c r="AC5" i="2"/>
  <c r="W5" i="3" s="1"/>
  <c r="Y5" i="3" s="1"/>
  <c r="AD5" i="3"/>
  <c r="V5" i="3"/>
  <c r="X5" i="3" s="1"/>
  <c r="V78" i="3"/>
  <c r="X78" i="3" s="1"/>
  <c r="AD78" i="2"/>
  <c r="AC78" i="2"/>
  <c r="W78" i="3" s="1"/>
  <c r="Y78" i="3" s="1"/>
  <c r="AD78" i="3"/>
  <c r="V28" i="3"/>
  <c r="X28" i="3" s="1"/>
  <c r="AD28" i="2"/>
  <c r="AC28" i="2"/>
  <c r="W28" i="3" s="1"/>
  <c r="Y28" i="3" s="1"/>
  <c r="AD28" i="3"/>
  <c r="AD53" i="3"/>
  <c r="AD53" i="2"/>
  <c r="AC53" i="2"/>
  <c r="W53" i="3" s="1"/>
  <c r="Y53" i="3" s="1"/>
  <c r="V53" i="3"/>
  <c r="X53" i="3" s="1"/>
  <c r="AD2" i="2"/>
  <c r="AC2" i="2"/>
  <c r="W2" i="3" s="1"/>
  <c r="Y2" i="3" s="1"/>
  <c r="V2" i="3"/>
  <c r="X2" i="3" s="1"/>
  <c r="AD2" i="3"/>
  <c r="AC74" i="2"/>
  <c r="W74" i="3" s="1"/>
  <c r="Y74" i="3" s="1"/>
  <c r="V74" i="3"/>
  <c r="X74" i="3" s="1"/>
  <c r="AD74" i="2"/>
  <c r="AD74" i="3"/>
  <c r="AC98" i="2"/>
  <c r="W98" i="3" s="1"/>
  <c r="Y98" i="3" s="1"/>
  <c r="V98" i="3"/>
  <c r="X98" i="3" s="1"/>
  <c r="AD98" i="2"/>
  <c r="AD98" i="3"/>
  <c r="AF97" i="2"/>
  <c r="AG96" i="2" s="1"/>
  <c r="V16" i="3"/>
  <c r="X16" i="3" s="1"/>
  <c r="AD16" i="2"/>
  <c r="AC16" i="2"/>
  <c r="W16" i="3" s="1"/>
  <c r="Y16" i="3" s="1"/>
  <c r="AD16" i="3"/>
  <c r="V72" i="3"/>
  <c r="X72" i="3" s="1"/>
  <c r="AD72" i="2"/>
  <c r="AC72" i="2"/>
  <c r="AD72" i="3"/>
  <c r="V68" i="3"/>
  <c r="X68" i="3" s="1"/>
  <c r="AD68" i="2"/>
  <c r="AC68" i="2"/>
  <c r="W68" i="3" s="1"/>
  <c r="Y68" i="3" s="1"/>
  <c r="AD68" i="3"/>
  <c r="AD91" i="2"/>
  <c r="AC91" i="2"/>
  <c r="W91" i="3" s="1"/>
  <c r="Y91" i="3" s="1"/>
  <c r="V91" i="3"/>
  <c r="X91" i="3" s="1"/>
  <c r="AD91" i="3"/>
  <c r="AF90" i="2"/>
  <c r="AG89" i="2" s="1"/>
  <c r="AD54" i="3"/>
  <c r="AD54" i="2"/>
  <c r="AC54" i="2"/>
  <c r="W54" i="3" s="1"/>
  <c r="Y54" i="3" s="1"/>
  <c r="V54" i="3"/>
  <c r="X54" i="3" s="1"/>
  <c r="AF53" i="2"/>
  <c r="AG52" i="2" s="1"/>
  <c r="AD17" i="3"/>
  <c r="V17" i="3"/>
  <c r="X17" i="3" s="1"/>
  <c r="AD17" i="2"/>
  <c r="AC17" i="2"/>
  <c r="W17" i="3" s="1"/>
  <c r="Y17" i="3" s="1"/>
  <c r="AF16" i="2"/>
  <c r="AG15" i="2" s="1"/>
  <c r="AD85" i="3"/>
  <c r="AD85" i="2"/>
  <c r="AC85" i="2"/>
  <c r="W85" i="3" s="1"/>
  <c r="Y85" i="3" s="1"/>
  <c r="V85" i="3"/>
  <c r="X85" i="3" s="1"/>
  <c r="AF84" i="2"/>
  <c r="AG83" i="2" s="1"/>
  <c r="AD86" i="2"/>
  <c r="AC86" i="2"/>
  <c r="W86" i="3" s="1"/>
  <c r="Y86" i="3" s="1"/>
  <c r="V86" i="3"/>
  <c r="X86" i="3" s="1"/>
  <c r="AD86" i="3"/>
  <c r="AD43" i="2"/>
  <c r="AC43" i="2"/>
  <c r="W43" i="3" s="1"/>
  <c r="Y43" i="3" s="1"/>
  <c r="V43" i="3"/>
  <c r="X43" i="3" s="1"/>
  <c r="AF42" i="2"/>
  <c r="AG41" i="2" s="1"/>
  <c r="AD43" i="3"/>
  <c r="AD51" i="2"/>
  <c r="AC51" i="2"/>
  <c r="W51" i="3" s="1"/>
  <c r="Y51" i="3" s="1"/>
  <c r="V51" i="3"/>
  <c r="X51" i="3" s="1"/>
  <c r="AD51" i="3"/>
  <c r="AF50" i="2"/>
  <c r="AG49" i="2" s="1"/>
  <c r="AD8" i="3"/>
  <c r="AD8" i="2"/>
  <c r="V8" i="3"/>
  <c r="X8" i="3" s="1"/>
  <c r="AC8" i="2"/>
  <c r="W8" i="3" s="1"/>
  <c r="Y8" i="3" s="1"/>
  <c r="V40" i="3"/>
  <c r="X40" i="3" s="1"/>
  <c r="AD40" i="2"/>
  <c r="AD40" i="3"/>
  <c r="AC40" i="2"/>
  <c r="AD61" i="3"/>
  <c r="AD61" i="2"/>
  <c r="AC61" i="2"/>
  <c r="W61" i="3" s="1"/>
  <c r="Y61" i="3" s="1"/>
  <c r="V61" i="3"/>
  <c r="X61" i="3" s="1"/>
  <c r="AD21" i="3"/>
  <c r="AD21" i="2"/>
  <c r="AC21" i="2"/>
  <c r="W21" i="3" s="1"/>
  <c r="Y21" i="3" s="1"/>
  <c r="V21" i="3"/>
  <c r="X21" i="3" s="1"/>
  <c r="V36" i="3"/>
  <c r="X36" i="3" s="1"/>
  <c r="AD36" i="2"/>
  <c r="AC36" i="2"/>
  <c r="W36" i="3" s="1"/>
  <c r="Y36" i="3" s="1"/>
  <c r="AD36" i="3"/>
  <c r="AC66" i="2"/>
  <c r="W66" i="3" s="1"/>
  <c r="Y66" i="3" s="1"/>
  <c r="V66" i="3"/>
  <c r="X66" i="3" s="1"/>
  <c r="AD66" i="2"/>
  <c r="AF65" i="2"/>
  <c r="AG64" i="2" s="1"/>
  <c r="AD66" i="3"/>
  <c r="AD63" i="3"/>
  <c r="AD63" i="2"/>
  <c r="AC63" i="2"/>
  <c r="W63" i="3" s="1"/>
  <c r="Y63" i="3" s="1"/>
  <c r="V63" i="3"/>
  <c r="X63" i="3" s="1"/>
  <c r="AD97" i="2"/>
  <c r="AC97" i="2"/>
  <c r="W97" i="3" s="1"/>
  <c r="Y97" i="3" s="1"/>
  <c r="V97" i="3"/>
  <c r="X97" i="3" s="1"/>
  <c r="AD97" i="3"/>
  <c r="V60" i="3"/>
  <c r="X60" i="3" s="1"/>
  <c r="AD60" i="2"/>
  <c r="AC60" i="2"/>
  <c r="W60" i="3" s="1"/>
  <c r="Y60" i="3" s="1"/>
  <c r="AD60" i="3"/>
  <c r="AF59" i="2"/>
  <c r="AG58" i="2" s="1"/>
  <c r="AD35" i="2"/>
  <c r="AC35" i="2"/>
  <c r="W35" i="3" s="1"/>
  <c r="Y35" i="3" s="1"/>
  <c r="V35" i="3"/>
  <c r="X35" i="3" s="1"/>
  <c r="AD35" i="3"/>
  <c r="AD37" i="3"/>
  <c r="AD37" i="2"/>
  <c r="AC37" i="2"/>
  <c r="W37" i="3" s="1"/>
  <c r="Y37" i="3" s="1"/>
  <c r="V37" i="3"/>
  <c r="X37" i="3" s="1"/>
  <c r="AF36" i="2"/>
  <c r="AG35" i="2" s="1"/>
  <c r="AC58" i="2"/>
  <c r="W58" i="3" s="1"/>
  <c r="Y58" i="3" s="1"/>
  <c r="V58" i="3"/>
  <c r="X58" i="3" s="1"/>
  <c r="AD58" i="3"/>
  <c r="AD58" i="2"/>
  <c r="AC82" i="2"/>
  <c r="W82" i="3" s="1"/>
  <c r="Y82" i="3" s="1"/>
  <c r="V82" i="3"/>
  <c r="X82" i="3" s="1"/>
  <c r="AD82" i="2"/>
  <c r="AD82" i="3"/>
  <c r="V81" i="3"/>
  <c r="X81" i="3" s="1"/>
  <c r="AD81" i="2"/>
  <c r="AC81" i="2"/>
  <c r="AD81" i="3"/>
  <c r="AD23" i="2"/>
  <c r="AC23" i="2"/>
  <c r="W23" i="3" s="1"/>
  <c r="Y23" i="3" s="1"/>
  <c r="AD23" i="3"/>
  <c r="V23" i="3"/>
  <c r="X23" i="3" s="1"/>
  <c r="AD55" i="3"/>
  <c r="AD55" i="2"/>
  <c r="AC55" i="2"/>
  <c r="W55" i="3" s="1"/>
  <c r="Y55" i="3" s="1"/>
  <c r="V55" i="3"/>
  <c r="X55" i="3" s="1"/>
  <c r="AF54" i="2"/>
  <c r="AG53" i="2" s="1"/>
  <c r="AD32" i="2"/>
  <c r="AC32" i="2"/>
  <c r="W32" i="3" s="1"/>
  <c r="Y32" i="3" s="1"/>
  <c r="V32" i="3"/>
  <c r="X32" i="3" s="1"/>
  <c r="AD32" i="3"/>
  <c r="AC18" i="2"/>
  <c r="W18" i="3" s="1"/>
  <c r="Y18" i="3" s="1"/>
  <c r="AD18" i="3"/>
  <c r="V18" i="3"/>
  <c r="X18" i="3" s="1"/>
  <c r="AD18" i="2"/>
  <c r="AD62" i="2"/>
  <c r="AC62" i="2"/>
  <c r="W62" i="3" s="1"/>
  <c r="Y62" i="3" s="1"/>
  <c r="V62" i="3"/>
  <c r="X62" i="3" s="1"/>
  <c r="AF61" i="2"/>
  <c r="AG60" i="2" s="1"/>
  <c r="AD62" i="3"/>
  <c r="V38" i="3"/>
  <c r="X38" i="3" s="1"/>
  <c r="AD38" i="2"/>
  <c r="AC38" i="2"/>
  <c r="W38" i="3" s="1"/>
  <c r="Y38" i="3" s="1"/>
  <c r="AF37" i="2"/>
  <c r="AG36" i="2" s="1"/>
  <c r="AD38" i="3"/>
  <c r="AD87" i="2"/>
  <c r="AC87" i="2"/>
  <c r="W87" i="3" s="1"/>
  <c r="Y87" i="3" s="1"/>
  <c r="V87" i="3"/>
  <c r="X87" i="3" s="1"/>
  <c r="AF86" i="2"/>
  <c r="AG85" i="2" s="1"/>
  <c r="AD87" i="3"/>
  <c r="AC26" i="2"/>
  <c r="W26" i="3" s="1"/>
  <c r="Y26" i="3" s="1"/>
  <c r="AD26" i="3"/>
  <c r="V26" i="3"/>
  <c r="X26" i="3" s="1"/>
  <c r="AD26" i="2"/>
  <c r="AF25" i="2"/>
  <c r="AG24" i="2" s="1"/>
  <c r="V47" i="3"/>
  <c r="X47" i="3" s="1"/>
  <c r="AD47" i="2"/>
  <c r="AC47" i="2"/>
  <c r="W47" i="3" s="1"/>
  <c r="Y47" i="3" s="1"/>
  <c r="AD47" i="3"/>
  <c r="AF46" i="2"/>
  <c r="AG45" i="2" s="1"/>
  <c r="AD83" i="2"/>
  <c r="AC83" i="2"/>
  <c r="W83" i="3" s="1"/>
  <c r="Y83" i="3" s="1"/>
  <c r="V83" i="3"/>
  <c r="X83" i="3" s="1"/>
  <c r="AD83" i="3"/>
  <c r="AF82" i="2"/>
  <c r="AG81" i="2" s="1"/>
  <c r="V46" i="3"/>
  <c r="X46" i="3" s="1"/>
  <c r="AD46" i="3"/>
  <c r="AD46" i="2"/>
  <c r="AC46" i="2"/>
  <c r="W46" i="3" s="1"/>
  <c r="Y46" i="3" s="1"/>
  <c r="V15" i="3"/>
  <c r="X15" i="3" s="1"/>
  <c r="AD15" i="2"/>
  <c r="AC15" i="2"/>
  <c r="W15" i="3" s="1"/>
  <c r="Y15" i="3" s="1"/>
  <c r="AD15" i="3"/>
  <c r="AD94" i="2"/>
  <c r="AC94" i="2"/>
  <c r="W94" i="3" s="1"/>
  <c r="Y94" i="3" s="1"/>
  <c r="V94" i="3"/>
  <c r="X94" i="3" s="1"/>
  <c r="AD94" i="3"/>
  <c r="V79" i="3"/>
  <c r="X79" i="3" s="1"/>
  <c r="AD79" i="2"/>
  <c r="AC79" i="2"/>
  <c r="W79" i="3" s="1"/>
  <c r="Y79" i="3" s="1"/>
  <c r="AF78" i="2"/>
  <c r="AG77" i="2" s="1"/>
  <c r="AD79" i="3"/>
  <c r="AB4" i="2"/>
  <c r="AD29" i="3"/>
  <c r="AD29" i="2"/>
  <c r="AC29" i="2"/>
  <c r="W29" i="3" s="1"/>
  <c r="Y29" i="3" s="1"/>
  <c r="V29" i="3"/>
  <c r="X29" i="3" s="1"/>
  <c r="AF28" i="2"/>
  <c r="AG27" i="2" s="1"/>
  <c r="AD19" i="2"/>
  <c r="AC19" i="2"/>
  <c r="W19" i="3" s="1"/>
  <c r="Y19" i="3" s="1"/>
  <c r="V19" i="3"/>
  <c r="X19" i="3" s="1"/>
  <c r="AD19" i="3"/>
  <c r="AF18" i="2"/>
  <c r="AG17" i="2" s="1"/>
  <c r="AD6" i="2"/>
  <c r="AC6" i="2"/>
  <c r="W6" i="3" s="1"/>
  <c r="Y6" i="3" s="1"/>
  <c r="V6" i="3"/>
  <c r="X6" i="3" s="1"/>
  <c r="AF5" i="2"/>
  <c r="AG4" i="2" s="1"/>
  <c r="AD6" i="3"/>
  <c r="AC42" i="2"/>
  <c r="W42" i="3" s="1"/>
  <c r="Y42" i="3" s="1"/>
  <c r="V42" i="3"/>
  <c r="X42" i="3" s="1"/>
  <c r="AD42" i="2"/>
  <c r="AD42" i="3"/>
  <c r="V12" i="3"/>
  <c r="X12" i="3" s="1"/>
  <c r="AD12" i="2"/>
  <c r="AC12" i="2"/>
  <c r="W12" i="3" s="1"/>
  <c r="Y12" i="3" s="1"/>
  <c r="AD12" i="3"/>
  <c r="AF11" i="2"/>
  <c r="AG10" i="2" s="1"/>
  <c r="V48" i="3"/>
  <c r="X48" i="3" s="1"/>
  <c r="AD48" i="2"/>
  <c r="AC48" i="2"/>
  <c r="W48" i="3" s="1"/>
  <c r="Y48" i="3" s="1"/>
  <c r="AD48" i="3"/>
  <c r="AF47" i="2"/>
  <c r="AG46" i="2" s="1"/>
  <c r="V57" i="3"/>
  <c r="X57" i="3" s="1"/>
  <c r="AD57" i="2"/>
  <c r="AC57" i="2"/>
  <c r="W57" i="3" s="1"/>
  <c r="Y57" i="3" s="1"/>
  <c r="AD57" i="3"/>
  <c r="V25" i="3"/>
  <c r="X25" i="3" s="1"/>
  <c r="AD25" i="2"/>
  <c r="AC25" i="2"/>
  <c r="W25" i="3" s="1"/>
  <c r="Y25" i="3" s="1"/>
  <c r="AD25" i="3"/>
  <c r="AF24" i="2"/>
  <c r="AG23" i="2" s="1"/>
  <c r="V24" i="3"/>
  <c r="X24" i="3" s="1"/>
  <c r="AD24" i="2"/>
  <c r="AC24" i="2"/>
  <c r="W24" i="3" s="1"/>
  <c r="Y24" i="3" s="1"/>
  <c r="AD24" i="3"/>
  <c r="AF23" i="2"/>
  <c r="AG22" i="2" s="1"/>
  <c r="AD3" i="2"/>
  <c r="AC3" i="2"/>
  <c r="W3" i="3" s="1"/>
  <c r="Y3" i="3" s="1"/>
  <c r="AF2" i="2"/>
  <c r="AD3" i="3"/>
  <c r="V3" i="3"/>
  <c r="X3" i="3" s="1"/>
  <c r="AC90" i="2"/>
  <c r="W90" i="3" s="1"/>
  <c r="Y90" i="3" s="1"/>
  <c r="V90" i="3"/>
  <c r="X90" i="3" s="1"/>
  <c r="AD90" i="2"/>
  <c r="AD90" i="3"/>
  <c r="AF89" i="2"/>
  <c r="AG88" i="2" s="1"/>
  <c r="AD77" i="3"/>
  <c r="AD77" i="2"/>
  <c r="AC77" i="2"/>
  <c r="W77" i="3" s="1"/>
  <c r="Y77" i="3" s="1"/>
  <c r="V77" i="3"/>
  <c r="X77" i="3" s="1"/>
  <c r="AD65" i="2"/>
  <c r="AC65" i="2"/>
  <c r="V65" i="3"/>
  <c r="X65" i="3" s="1"/>
  <c r="AD65" i="3"/>
  <c r="AD75" i="2"/>
  <c r="AC75" i="2"/>
  <c r="W75" i="3" s="1"/>
  <c r="Y75" i="3" s="1"/>
  <c r="V75" i="3"/>
  <c r="X75" i="3" s="1"/>
  <c r="AD75" i="3"/>
  <c r="AD22" i="2"/>
  <c r="AC22" i="2"/>
  <c r="W22" i="3" s="1"/>
  <c r="Y22" i="3" s="1"/>
  <c r="AD22" i="3"/>
  <c r="V22" i="3"/>
  <c r="X22" i="3" s="1"/>
  <c r="AF21" i="2"/>
  <c r="AG20" i="2" s="1"/>
  <c r="AD7" i="2"/>
  <c r="AC7" i="2"/>
  <c r="W7" i="3" s="1"/>
  <c r="Y7" i="3" s="1"/>
  <c r="AD7" i="3"/>
  <c r="V7" i="3"/>
  <c r="X7" i="3" s="1"/>
  <c r="V49" i="3"/>
  <c r="X49" i="3" s="1"/>
  <c r="AD49" i="3"/>
  <c r="AD49" i="2"/>
  <c r="AC49" i="2"/>
  <c r="AD69" i="3"/>
  <c r="AD69" i="2"/>
  <c r="AC69" i="2"/>
  <c r="W69" i="3" s="1"/>
  <c r="Y69" i="3" s="1"/>
  <c r="V69" i="3"/>
  <c r="X69" i="3" s="1"/>
  <c r="AD93" i="3"/>
  <c r="AD93" i="2"/>
  <c r="AC93" i="2"/>
  <c r="W93" i="3" s="1"/>
  <c r="Y93" i="3" s="1"/>
  <c r="AF92" i="2"/>
  <c r="AG91" i="2" s="1"/>
  <c r="V93" i="3"/>
  <c r="X93" i="3" s="1"/>
  <c r="V92" i="3"/>
  <c r="X92" i="3" s="1"/>
  <c r="AD92" i="2"/>
  <c r="AC92" i="2"/>
  <c r="W92" i="3" s="1"/>
  <c r="Y92" i="3" s="1"/>
  <c r="AD92" i="3"/>
  <c r="AF91" i="2"/>
  <c r="AG90" i="2" s="1"/>
  <c r="V70" i="3"/>
  <c r="X70" i="3" s="1"/>
  <c r="AD70" i="2"/>
  <c r="AC70" i="2"/>
  <c r="W70" i="3" s="1"/>
  <c r="Y70" i="3" s="1"/>
  <c r="AD70" i="3"/>
  <c r="AD30" i="2"/>
  <c r="AC30" i="2"/>
  <c r="W30" i="3" s="1"/>
  <c r="Y30" i="3" s="1"/>
  <c r="V30" i="3"/>
  <c r="X30" i="3" s="1"/>
  <c r="AD30" i="3"/>
  <c r="AF29" i="2"/>
  <c r="AG28" i="2" s="1"/>
  <c r="V76" i="3"/>
  <c r="X76" i="3" s="1"/>
  <c r="AD76" i="2"/>
  <c r="AC76" i="2"/>
  <c r="W76" i="3" s="1"/>
  <c r="Y76" i="3" s="1"/>
  <c r="AF75" i="2"/>
  <c r="AG74" i="2" s="1"/>
  <c r="AD76" i="3"/>
  <c r="V11" i="3"/>
  <c r="X11" i="3" s="1"/>
  <c r="AD11" i="2"/>
  <c r="AC11" i="2"/>
  <c r="W11" i="3" s="1"/>
  <c r="Y11" i="3" s="1"/>
  <c r="AD11" i="3"/>
  <c r="AF10" i="2"/>
  <c r="AG9" i="2" s="1"/>
  <c r="AC50" i="2"/>
  <c r="W50" i="3" s="1"/>
  <c r="Y50" i="3" s="1"/>
  <c r="V50" i="3"/>
  <c r="X50" i="3" s="1"/>
  <c r="AD50" i="3"/>
  <c r="AD50" i="2"/>
  <c r="V89" i="3"/>
  <c r="X89" i="3" s="1"/>
  <c r="AD89" i="2"/>
  <c r="AC89" i="2"/>
  <c r="W89" i="3" s="1"/>
  <c r="Y89" i="3" s="1"/>
  <c r="AD89" i="3"/>
  <c r="AF88" i="2"/>
  <c r="AG87" i="2" s="1"/>
  <c r="AD96" i="2"/>
  <c r="AC96" i="2"/>
  <c r="V96" i="3"/>
  <c r="X96" i="3" s="1"/>
  <c r="AD96" i="3"/>
  <c r="AD27" i="2"/>
  <c r="AC27" i="2"/>
  <c r="W27" i="3" s="1"/>
  <c r="Y27" i="3" s="1"/>
  <c r="AD27" i="3"/>
  <c r="V27" i="3"/>
  <c r="X27" i="3" s="1"/>
  <c r="V39" i="3"/>
  <c r="X39" i="3" s="1"/>
  <c r="AD39" i="2"/>
  <c r="AC39" i="2"/>
  <c r="W39" i="3" s="1"/>
  <c r="Y39" i="3" s="1"/>
  <c r="AD39" i="3"/>
  <c r="AD33" i="2"/>
  <c r="AC33" i="2"/>
  <c r="V33" i="3"/>
  <c r="X33" i="3" s="1"/>
  <c r="AD33" i="3"/>
  <c r="AD45" i="3"/>
  <c r="AD45" i="2"/>
  <c r="AC45" i="2"/>
  <c r="W45" i="3" s="1"/>
  <c r="Y45" i="3" s="1"/>
  <c r="V45" i="3"/>
  <c r="X45" i="3" s="1"/>
  <c r="AF44" i="2"/>
  <c r="AG43" i="2" s="1"/>
  <c r="V80" i="3"/>
  <c r="X80" i="3" s="1"/>
  <c r="AD80" i="2"/>
  <c r="AC80" i="2"/>
  <c r="W80" i="3" s="1"/>
  <c r="Y80" i="3" s="1"/>
  <c r="AD80" i="3"/>
  <c r="V20" i="3"/>
  <c r="X20" i="3" s="1"/>
  <c r="AD20" i="2"/>
  <c r="AC20" i="2"/>
  <c r="W20" i="3" s="1"/>
  <c r="Y20" i="3" s="1"/>
  <c r="AF19" i="2"/>
  <c r="AG18" i="2" s="1"/>
  <c r="AD20" i="3"/>
  <c r="AD67" i="2"/>
  <c r="AC67" i="2"/>
  <c r="W67" i="3" s="1"/>
  <c r="Y67" i="3" s="1"/>
  <c r="V67" i="3"/>
  <c r="X67" i="3" s="1"/>
  <c r="AF66" i="2"/>
  <c r="AG65" i="2" s="1"/>
  <c r="AD67" i="3"/>
  <c r="AC10" i="2"/>
  <c r="W10" i="3" s="1"/>
  <c r="Y10" i="3" s="1"/>
  <c r="AD10" i="2"/>
  <c r="V10" i="3"/>
  <c r="X10" i="3" s="1"/>
  <c r="AD10" i="3"/>
  <c r="AF9" i="2"/>
  <c r="AG8" i="2" s="1"/>
  <c r="V71" i="3"/>
  <c r="X71" i="3" s="1"/>
  <c r="AD71" i="2"/>
  <c r="AC71" i="2"/>
  <c r="W71" i="3" s="1"/>
  <c r="Y71" i="3" s="1"/>
  <c r="AD71" i="3"/>
  <c r="AF70" i="2"/>
  <c r="AG69" i="2" s="1"/>
  <c r="AD31" i="2"/>
  <c r="AC31" i="2"/>
  <c r="W31" i="3" s="1"/>
  <c r="Y31" i="3" s="1"/>
  <c r="V31" i="3"/>
  <c r="X31" i="3" s="1"/>
  <c r="AD31" i="3"/>
  <c r="V56" i="3"/>
  <c r="X56" i="3" s="1"/>
  <c r="AD56" i="2"/>
  <c r="AC56" i="2"/>
  <c r="AD56" i="3"/>
  <c r="AD64" i="3"/>
  <c r="AD64" i="2"/>
  <c r="AC64" i="2"/>
  <c r="W64" i="3" s="1"/>
  <c r="Y64" i="3" s="1"/>
  <c r="V64" i="3"/>
  <c r="X64" i="3" s="1"/>
  <c r="AF63" i="2"/>
  <c r="AG62" i="2" s="1"/>
  <c r="AC34" i="2"/>
  <c r="W34" i="3" s="1"/>
  <c r="Y34" i="3" s="1"/>
  <c r="V34" i="3"/>
  <c r="X34" i="3" s="1"/>
  <c r="AD34" i="2"/>
  <c r="AD34" i="3"/>
  <c r="AF33" i="2"/>
  <c r="AG32" i="2" s="1"/>
  <c r="V88" i="3"/>
  <c r="X88" i="3" s="1"/>
  <c r="AD88" i="2"/>
  <c r="AC88" i="2"/>
  <c r="W88" i="3" s="1"/>
  <c r="Y88" i="3" s="1"/>
  <c r="AD88" i="3"/>
  <c r="AF87" i="2"/>
  <c r="AG86" i="2" s="1"/>
  <c r="AF56" i="2" l="1"/>
  <c r="AG55" i="2" s="1"/>
  <c r="AD4" i="2"/>
  <c r="AC4" i="2"/>
  <c r="W4" i="3" s="1"/>
  <c r="Y4" i="3" s="1"/>
  <c r="AF3" i="2"/>
  <c r="AG2" i="2" s="1"/>
  <c r="V4" i="3"/>
  <c r="X4" i="3" s="1"/>
  <c r="AF95" i="2"/>
  <c r="AG94" i="2" s="1"/>
  <c r="W96" i="3"/>
  <c r="Y96" i="3" s="1"/>
  <c r="AF69" i="2"/>
  <c r="AG68" i="2" s="1"/>
  <c r="AF68" i="2"/>
  <c r="AG67" i="2" s="1"/>
  <c r="AF6" i="2"/>
  <c r="AG5" i="2" s="1"/>
  <c r="AD4" i="3"/>
  <c r="AF45" i="2"/>
  <c r="AG44" i="2" s="1"/>
  <c r="AF31" i="2"/>
  <c r="AG30" i="2" s="1"/>
  <c r="AF80" i="2"/>
  <c r="AG79" i="2" s="1"/>
  <c r="W81" i="3"/>
  <c r="Y81" i="3" s="1"/>
  <c r="AF57" i="2"/>
  <c r="AG56" i="2" s="1"/>
  <c r="AF20" i="2"/>
  <c r="AG19" i="2" s="1"/>
  <c r="AF15" i="2"/>
  <c r="AG14" i="2" s="1"/>
  <c r="AF27" i="2"/>
  <c r="AG26" i="2" s="1"/>
  <c r="AF72" i="2"/>
  <c r="AG71" i="2" s="1"/>
  <c r="W73" i="3"/>
  <c r="Y73" i="3" s="1"/>
  <c r="AF64" i="2"/>
  <c r="AG63" i="2" s="1"/>
  <c r="W65" i="3"/>
  <c r="Y65" i="3" s="1"/>
  <c r="AF62" i="2"/>
  <c r="AG61" i="2" s="1"/>
  <c r="AF73" i="2"/>
  <c r="AG72" i="2" s="1"/>
  <c r="AF32" i="2"/>
  <c r="AG31" i="2" s="1"/>
  <c r="W33" i="3"/>
  <c r="Y33" i="3" s="1"/>
  <c r="AF30" i="2"/>
  <c r="AG29" i="2" s="1"/>
  <c r="AF38" i="2"/>
  <c r="AG37" i="2" s="1"/>
  <c r="AF22" i="2"/>
  <c r="AG21" i="2" s="1"/>
  <c r="AF34" i="2"/>
  <c r="AG33" i="2" s="1"/>
  <c r="AF39" i="2"/>
  <c r="AG38" i="2" s="1"/>
  <c r="W40" i="3"/>
  <c r="Y40" i="3" s="1"/>
  <c r="AF43" i="2"/>
  <c r="AG42" i="2" s="1"/>
  <c r="AF74" i="2"/>
  <c r="AG73" i="2" s="1"/>
  <c r="AF41" i="2"/>
  <c r="AG40" i="2" s="1"/>
  <c r="AF14" i="2"/>
  <c r="AG13" i="2" s="1"/>
  <c r="AF17" i="2"/>
  <c r="AG16" i="2" s="1"/>
  <c r="AF81" i="2"/>
  <c r="AG80" i="2" s="1"/>
  <c r="AF35" i="2"/>
  <c r="AG34" i="2" s="1"/>
  <c r="AF40" i="2"/>
  <c r="AG39" i="2" s="1"/>
  <c r="W41" i="3"/>
  <c r="Y41" i="3" s="1"/>
  <c r="AF83" i="2"/>
  <c r="AG82" i="2" s="1"/>
  <c r="AF55" i="2"/>
  <c r="AG54" i="2" s="1"/>
  <c r="W56" i="3"/>
  <c r="Y56" i="3" s="1"/>
  <c r="AF79" i="2"/>
  <c r="AG78" i="2" s="1"/>
  <c r="AF49" i="2"/>
  <c r="AG48" i="2" s="1"/>
  <c r="AF48" i="2"/>
  <c r="AG47" i="2" s="1"/>
  <c r="W49" i="3"/>
  <c r="Y49" i="3" s="1"/>
  <c r="AF76" i="2"/>
  <c r="AG75" i="2" s="1"/>
  <c r="AF96" i="2"/>
  <c r="AG95" i="2" s="1"/>
  <c r="AF71" i="2"/>
  <c r="AG70" i="2" s="1"/>
  <c r="W72" i="3"/>
  <c r="Y72" i="3" s="1"/>
  <c r="AF52" i="2"/>
  <c r="AG51" i="2" s="1"/>
  <c r="AF4" i="2"/>
  <c r="AG3" i="2" s="1"/>
  <c r="AF26" i="2"/>
  <c r="AG25" i="2" s="1"/>
  <c r="AF93" i="2"/>
  <c r="AG92" i="2" s="1"/>
  <c r="AF60" i="2"/>
  <c r="AG59" i="2" s="1"/>
  <c r="AF7" i="2"/>
  <c r="AG6" i="2" s="1"/>
  <c r="AF85" i="2"/>
  <c r="AG84" i="2" s="1"/>
  <c r="AF67" i="2"/>
  <c r="AG66" i="2" s="1"/>
  <c r="AD99" i="2"/>
  <c r="AF77" i="2"/>
  <c r="AG76" i="2" s="1"/>
  <c r="AF12" i="2"/>
  <c r="AG11" i="2" s="1"/>
  <c r="AG99" i="2" l="1"/>
</calcChain>
</file>

<file path=xl/sharedStrings.xml><?xml version="1.0" encoding="utf-8"?>
<sst xmlns="http://schemas.openxmlformats.org/spreadsheetml/2006/main" count="1611" uniqueCount="49">
  <si>
    <t>periode_data</t>
  </si>
  <si>
    <t>tanggal</t>
  </si>
  <si>
    <t>pm_10</t>
  </si>
  <si>
    <t>pm_duakomalima</t>
  </si>
  <si>
    <t>so2</t>
  </si>
  <si>
    <t>co</t>
  </si>
  <si>
    <t>o3</t>
  </si>
  <si>
    <t>no2</t>
  </si>
  <si>
    <t>max</t>
  </si>
  <si>
    <t>critical</t>
  </si>
  <si>
    <t>categori</t>
  </si>
  <si>
    <t>lokasi_spku</t>
  </si>
  <si>
    <t>U1</t>
  </si>
  <si>
    <t>U2</t>
  </si>
  <si>
    <t>U1^2</t>
  </si>
  <si>
    <t>U2^2</t>
  </si>
  <si>
    <t>Jarak D1</t>
  </si>
  <si>
    <t>Jarak D2</t>
  </si>
  <si>
    <t>F.Objektif</t>
  </si>
  <si>
    <t>PM2,5</t>
  </si>
  <si>
    <t>SEDANG</t>
  </si>
  <si>
    <t>DKI4</t>
  </si>
  <si>
    <t>TIDAK SEHAT</t>
  </si>
  <si>
    <t>DKI2</t>
  </si>
  <si>
    <t>DKI5</t>
  </si>
  <si>
    <t>O3</t>
  </si>
  <si>
    <t>DKI1</t>
  </si>
  <si>
    <t>SO2</t>
  </si>
  <si>
    <t>(u1)^m</t>
  </si>
  <si>
    <t>(u2)^m</t>
  </si>
  <si>
    <t>(u1)^m.X</t>
  </si>
  <si>
    <t>(u2)^m.X</t>
  </si>
  <si>
    <t>d1^2</t>
  </si>
  <si>
    <t>d2^2</t>
  </si>
  <si>
    <t>u1 Baru</t>
  </si>
  <si>
    <t>Selisih</t>
  </si>
  <si>
    <t>Label</t>
  </si>
  <si>
    <t>Cek kecocokan</t>
  </si>
  <si>
    <t>Cek Kecocokan</t>
  </si>
  <si>
    <t>ce kecocokan</t>
  </si>
  <si>
    <t>30,61%</t>
  </si>
  <si>
    <t>Total Data</t>
  </si>
  <si>
    <t>Data Cocok</t>
  </si>
  <si>
    <t>Akurasi Akhir</t>
  </si>
  <si>
    <t>83,67%</t>
  </si>
  <si>
    <t>Jumlah Iterasi</t>
  </si>
  <si>
    <t>5 kali</t>
  </si>
  <si>
    <t>u2 Baru</t>
  </si>
  <si>
    <t xml:space="preserve">pm_duakomalima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</si>
</sst>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/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0" fillId="0" borderId="12" xfId="0" applyBorder="1"/>
    <xf numFmtId="0" fontId="0" fillId="0" borderId="13" xfId="0" applyBorder="1"/>
    <xf numFmtId="14" fontId="19" fillId="0" borderId="13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14" fontId="19" fillId="0" borderId="10" xfId="0" applyNumberFormat="1" applyFont="1" applyBorder="1" applyAlignment="1">
      <alignment wrapText="1"/>
    </xf>
    <xf numFmtId="0" fontId="16" fillId="33" borderId="0" xfId="0" applyFont="1" applyFill="1"/>
    <xf numFmtId="0" fontId="21" fillId="0" borderId="10" xfId="0" applyFont="1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12" borderId="10" xfId="21" applyFont="1" applyBorder="1" applyAlignment="1">
      <alignment horizontal="center" vertical="center" wrapText="1"/>
    </xf>
    <xf numFmtId="0" fontId="16" fillId="12" borderId="10" xfId="21" applyFont="1" applyBorder="1" applyAlignment="1">
      <alignment horizontal="center" vertical="center"/>
    </xf>
    <xf numFmtId="0" fontId="16" fillId="12" borderId="10" xfId="21" applyNumberFormat="1" applyFont="1" applyBorder="1" applyAlignment="1">
      <alignment horizontal="center" vertical="center"/>
    </xf>
    <xf numFmtId="0" fontId="16" fillId="12" borderId="4" xfId="21" applyFont="1" applyBorder="1" applyAlignment="1">
      <alignment horizontal="center" vertical="center" wrapText="1"/>
    </xf>
    <xf numFmtId="0" fontId="16" fillId="12" borderId="4" xfId="21" applyFont="1" applyBorder="1" applyAlignment="1">
      <alignment horizontal="center" vertical="center"/>
    </xf>
    <xf numFmtId="0" fontId="16" fillId="12" borderId="14" xfId="21" applyFont="1" applyBorder="1" applyAlignment="1">
      <alignment horizontal="center" vertical="center"/>
    </xf>
    <xf numFmtId="0" fontId="16" fillId="12" borderId="11" xfId="2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403860</xdr:colOff>
      <xdr:row>0</xdr:row>
      <xdr:rowOff>163830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BF9BA4-0A69-F45F-BB7B-A0F51D03192F}"/>
            </a:ext>
          </a:extLst>
        </xdr:cNvPr>
        <xdr:cNvSpPr txBox="1"/>
      </xdr:nvSpPr>
      <xdr:spPr>
        <a:xfrm>
          <a:off x="10690860" y="1638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403860</xdr:colOff>
      <xdr:row>0</xdr:row>
      <xdr:rowOff>163830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0F563F-FA0D-8626-911C-1BBE3337E241}"/>
            </a:ext>
          </a:extLst>
        </xdr:cNvPr>
        <xdr:cNvSpPr txBox="1"/>
      </xdr:nvSpPr>
      <xdr:spPr>
        <a:xfrm>
          <a:off x="12085320" y="1638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403860</xdr:colOff>
      <xdr:row>0</xdr:row>
      <xdr:rowOff>163830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F2E085-5ACD-4E36-B7F2-D0EF0AE62DFE}"/>
            </a:ext>
          </a:extLst>
        </xdr:cNvPr>
        <xdr:cNvSpPr txBox="1"/>
      </xdr:nvSpPr>
      <xdr:spPr>
        <a:xfrm>
          <a:off x="12085320" y="1638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403860</xdr:colOff>
      <xdr:row>0</xdr:row>
      <xdr:rowOff>163830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265E6A-3FB9-4D1B-8EBF-F3FA7A86A333}"/>
            </a:ext>
          </a:extLst>
        </xdr:cNvPr>
        <xdr:cNvSpPr txBox="1"/>
      </xdr:nvSpPr>
      <xdr:spPr>
        <a:xfrm>
          <a:off x="12085320" y="1638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9A78-4820-4810-A1E9-0C19C6EB5C5E}">
  <sheetPr>
    <tabColor theme="4"/>
  </sheetPr>
  <dimension ref="A1:AI961"/>
  <sheetViews>
    <sheetView showGridLines="0" topLeftCell="A88" zoomScale="68" workbookViewId="0">
      <selection activeCell="N22" sqref="N22"/>
    </sheetView>
  </sheetViews>
  <sheetFormatPr defaultRowHeight="14.4" x14ac:dyDescent="0.3"/>
  <cols>
    <col min="1" max="1" width="11.44140625" style="1" customWidth="1"/>
    <col min="2" max="2" width="11.6640625" style="1" bestFit="1" customWidth="1"/>
    <col min="3" max="3" width="7.44140625" style="1" bestFit="1" customWidth="1"/>
    <col min="4" max="4" width="15.21875" style="1" customWidth="1"/>
    <col min="5" max="5" width="3.88671875" style="1" bestFit="1" customWidth="1"/>
    <col min="6" max="6" width="3.77734375" style="1" bestFit="1" customWidth="1"/>
    <col min="7" max="7" width="4.5546875" style="1" bestFit="1" customWidth="1"/>
    <col min="8" max="8" width="4.109375" style="1" bestFit="1" customWidth="1"/>
    <col min="9" max="9" width="4.5546875" style="1" bestFit="1" customWidth="1"/>
    <col min="10" max="10" width="6.109375" style="1" customWidth="1"/>
    <col min="11" max="11" width="11" style="1" customWidth="1"/>
    <col min="12" max="12" width="10.109375" style="1" bestFit="1" customWidth="1"/>
    <col min="14" max="14" width="13.44140625" style="1" bestFit="1" customWidth="1"/>
    <col min="15" max="15" width="12.109375" style="1" bestFit="1" customWidth="1"/>
    <col min="16" max="18" width="13.44140625" style="1" bestFit="1" customWidth="1"/>
    <col min="19" max="19" width="9.109375" style="1" bestFit="1" customWidth="1"/>
    <col min="20" max="20" width="13.5546875" style="1" bestFit="1" customWidth="1"/>
    <col min="22" max="22" width="15.33203125" bestFit="1" customWidth="1"/>
    <col min="23" max="23" width="11.5546875" bestFit="1" customWidth="1"/>
    <col min="24" max="24" width="15.33203125" bestFit="1" customWidth="1"/>
    <col min="25" max="25" width="14.21875" bestFit="1" customWidth="1"/>
    <col min="26" max="29" width="10.33203125" bestFit="1" customWidth="1"/>
    <col min="31" max="31" width="10.33203125" bestFit="1" customWidth="1"/>
    <col min="32" max="32" width="12.44140625" bestFit="1" customWidth="1"/>
    <col min="33" max="33" width="12.33203125" bestFit="1" customWidth="1"/>
    <col min="35" max="35" width="9" bestFit="1" customWidth="1"/>
  </cols>
  <sheetData>
    <row r="1" spans="1:32" ht="28.8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47</v>
      </c>
      <c r="AE1" s="17" t="s">
        <v>36</v>
      </c>
      <c r="AF1" s="18" t="s">
        <v>39</v>
      </c>
    </row>
    <row r="2" spans="1:32" x14ac:dyDescent="0.3">
      <c r="A2" s="7">
        <v>202212</v>
      </c>
      <c r="B2" s="7">
        <v>44926.625</v>
      </c>
      <c r="C2" s="7">
        <v>54</v>
      </c>
      <c r="D2" s="7">
        <v>73</v>
      </c>
      <c r="E2" s="7">
        <v>56</v>
      </c>
      <c r="F2" s="7">
        <v>24</v>
      </c>
      <c r="G2" s="7">
        <v>23</v>
      </c>
      <c r="H2" s="7">
        <v>24</v>
      </c>
      <c r="I2" s="7">
        <v>73</v>
      </c>
      <c r="J2" s="7" t="s">
        <v>19</v>
      </c>
      <c r="K2" s="7" t="s">
        <v>20</v>
      </c>
      <c r="L2" s="7" t="s">
        <v>21</v>
      </c>
      <c r="N2" s="1">
        <f>(C2 - MIN(C$2:C$99)) / (MAX(C$2:C$99) - MIN(C$2:C$99))</f>
        <v>0.46551724137931033</v>
      </c>
      <c r="O2" s="10">
        <f>(D2-MIN(D$2:D$99))/(MAX(D$2:D$99)-MIN(D$2:D$99))</f>
        <v>0.2857142857142857</v>
      </c>
      <c r="P2" s="1">
        <f>(E2-MIN(E$2:E$99))/(MAX(E$2:E$99)-MIN(E$2:E$99))</f>
        <v>0.91666666666666663</v>
      </c>
      <c r="Q2" s="1">
        <f>(F2-MIN(F$2:F$99))/(MAX(F$2:F$99)-MIN(F$2:F$99))</f>
        <v>0.78947368421052633</v>
      </c>
      <c r="R2" s="1">
        <f>(G2-MIN(G$2:G$99))/(MAX(G$2:G$99)-MIN(G$2:G$99))</f>
        <v>3.6585365853658534E-2</v>
      </c>
      <c r="S2" s="1">
        <f>(H2-MIN(H$2:H$99))/(MAX(H$2:H$99)-MIN(H$2:H$99))</f>
        <v>0.34375</v>
      </c>
      <c r="T2" s="1">
        <f>SUM(N2:S2)</f>
        <v>2.8377072438244473</v>
      </c>
      <c r="V2" s="1">
        <v>0.1</v>
      </c>
      <c r="W2" s="1">
        <f>1-V2</f>
        <v>0.9</v>
      </c>
      <c r="X2" s="1">
        <f>V2^2 * N2</f>
        <v>4.6551724137931039E-3</v>
      </c>
      <c r="Y2" s="1">
        <f>W2^2 * N2</f>
        <v>0.37706896551724139</v>
      </c>
      <c r="Z2" s="1">
        <f>(N2-N$102)^2+(O2-O$102)^2+(P2-P$102)^2+(Q2-Q$102)^2+(R2-R$102)^2+(S2-S$102)^2</f>
        <v>0.41615543314544423</v>
      </c>
      <c r="AA2" s="1">
        <f>(N2-$N$103)^2 + (O2-$O$103)^2 + (P2-$P$103)^2 + (Q2-$Q$103)^2 + (R2-$R$103)^2 + (S2-$S$103)^2</f>
        <v>0.52287379348693086</v>
      </c>
      <c r="AB2" s="1">
        <f>(1/Z2) / ((1/Z2) + (1/AA2))</f>
        <v>0.55682376933261646</v>
      </c>
      <c r="AC2" s="1">
        <f>1 - AB2</f>
        <v>0.44317623066738354</v>
      </c>
      <c r="AE2" s="15">
        <f>IF(AB2 &gt; AC2, 1, 2)</f>
        <v>1</v>
      </c>
      <c r="AF2" s="15">
        <f t="shared" ref="AF2:AF8" si="0">((VALUE(IF(OR(AND(AE2=2, K2="SEDANG"), AND(AE2=1, K2="TIDAK SEHAT")), 1, 0)))*1)*1</f>
        <v>0</v>
      </c>
    </row>
    <row r="3" spans="1:32" x14ac:dyDescent="0.3">
      <c r="A3" s="7">
        <v>202212</v>
      </c>
      <c r="B3" s="8">
        <v>44925</v>
      </c>
      <c r="C3" s="7">
        <v>40</v>
      </c>
      <c r="D3" s="7">
        <v>64</v>
      </c>
      <c r="E3" s="7">
        <v>57</v>
      </c>
      <c r="F3" s="7">
        <v>21</v>
      </c>
      <c r="G3" s="7">
        <v>17</v>
      </c>
      <c r="H3" s="7">
        <v>24</v>
      </c>
      <c r="I3" s="7">
        <v>64</v>
      </c>
      <c r="J3" s="7" t="s">
        <v>19</v>
      </c>
      <c r="K3" s="7" t="s">
        <v>20</v>
      </c>
      <c r="L3" s="7" t="s">
        <v>21</v>
      </c>
      <c r="N3" s="1">
        <f t="shared" ref="N3:N66" si="1">(C3 - MIN(C$2:C$99)) / (MAX(C$2:C$99) - MIN(C$2:C$99))</f>
        <v>0.22413793103448276</v>
      </c>
      <c r="O3" s="10">
        <f t="shared" ref="O3:O66" si="2">(D3-MIN(D$2:D$99))/(MAX(D$2:D$99)-MIN(D$2:D$99))</f>
        <v>0.2</v>
      </c>
      <c r="P3" s="1">
        <f t="shared" ref="P3:P66" si="3">(E3-MIN(E$2:E$99))/(MAX(E$2:E$99)-MIN(E$2:E$99))</f>
        <v>1</v>
      </c>
      <c r="Q3" s="1">
        <f t="shared" ref="Q3:Q66" si="4">(F3-MIN(F$2:F$99))/(MAX(F$2:F$99)-MIN(F$2:F$99))</f>
        <v>0.63157894736842102</v>
      </c>
      <c r="R3" s="1">
        <f t="shared" ref="R3:R66" si="5">(G3-MIN(G$2:G$99))/(MAX(G$2:G$99)-MIN(G$2:G$99))</f>
        <v>0</v>
      </c>
      <c r="S3" s="1">
        <f t="shared" ref="S3:S66" si="6">(H3-MIN(H$2:H$99))/(MAX(H$2:H$99)-MIN(H$2:H$99))</f>
        <v>0.34375</v>
      </c>
      <c r="T3" s="1">
        <f t="shared" ref="T3:T66" si="7">SUM(N3:S3)</f>
        <v>2.3994668784029036</v>
      </c>
      <c r="V3" s="1">
        <v>0.2</v>
      </c>
      <c r="W3" s="1">
        <f t="shared" ref="W3:W6" si="8">1-V3</f>
        <v>0.8</v>
      </c>
      <c r="X3" s="1">
        <f>V3^2 * N3</f>
        <v>8.9655172413793116E-3</v>
      </c>
      <c r="Y3" s="1">
        <f t="shared" ref="Y3:Y66" si="9">W3^2 * N3</f>
        <v>0.14344827586206899</v>
      </c>
      <c r="Z3" s="1">
        <f t="shared" ref="Z3:Z5" si="10">(N3-$N$102)^2 + (O3-$O$102)^2 + (P3-$P$102)^2 + (Q3-$Q$102)^2 + (R3-$R$102)^2 + (S3-$S$102)^2</f>
        <v>0.58184843382443641</v>
      </c>
      <c r="AA3" s="1">
        <f t="shared" ref="AA3:AA66" si="11">(N3-$N$103)^2+(O3-$O$103)^2+(P3-$P$103)^2+(Q3-$Q$103)^2+(R3-$R$103)^2+(S3-$S$103)^2</f>
        <v>0.73284298435920536</v>
      </c>
      <c r="AB3" s="1">
        <f t="shared" ref="AB3:AB66" si="12">(1/Z3) / ((1/Z3) + (1/AA3))</f>
        <v>0.55742585235072906</v>
      </c>
      <c r="AC3" s="1">
        <f t="shared" ref="AC3:AC66" si="13">1 - AB3</f>
        <v>0.44257414764927094</v>
      </c>
      <c r="AE3" s="15">
        <f t="shared" ref="AE3:AE66" si="14">IF(AB3 &gt; AC3, 1, 2)</f>
        <v>1</v>
      </c>
      <c r="AF3" s="15">
        <f t="shared" si="0"/>
        <v>0</v>
      </c>
    </row>
    <row r="4" spans="1:32" ht="27.6" x14ac:dyDescent="0.3">
      <c r="A4" s="7">
        <v>202207</v>
      </c>
      <c r="B4" s="8">
        <v>44748</v>
      </c>
      <c r="C4" s="7">
        <v>75</v>
      </c>
      <c r="D4" s="7">
        <v>129</v>
      </c>
      <c r="E4" s="7">
        <v>45</v>
      </c>
      <c r="F4" s="7">
        <v>25</v>
      </c>
      <c r="G4" s="7">
        <v>71</v>
      </c>
      <c r="H4" s="7">
        <v>26</v>
      </c>
      <c r="I4" s="7">
        <v>129</v>
      </c>
      <c r="J4" s="7" t="s">
        <v>19</v>
      </c>
      <c r="K4" s="7" t="s">
        <v>22</v>
      </c>
      <c r="L4" s="7" t="s">
        <v>21</v>
      </c>
      <c r="N4" s="1">
        <f t="shared" si="1"/>
        <v>0.82758620689655171</v>
      </c>
      <c r="O4" s="10">
        <f t="shared" si="2"/>
        <v>0.81904761904761902</v>
      </c>
      <c r="P4" s="1">
        <f t="shared" si="3"/>
        <v>0</v>
      </c>
      <c r="Q4" s="1">
        <f t="shared" si="4"/>
        <v>0.84210526315789469</v>
      </c>
      <c r="R4" s="1">
        <f t="shared" si="5"/>
        <v>0.32926829268292684</v>
      </c>
      <c r="S4" s="1">
        <f t="shared" si="6"/>
        <v>0.40625</v>
      </c>
      <c r="T4" s="1">
        <f t="shared" si="7"/>
        <v>3.2242573817849922</v>
      </c>
      <c r="V4" s="1">
        <v>0.3</v>
      </c>
      <c r="W4" s="1">
        <f t="shared" si="8"/>
        <v>0.7</v>
      </c>
      <c r="X4" s="1">
        <f t="shared" ref="X4:X66" si="15">V4^2 * N4</f>
        <v>7.4482758620689649E-2</v>
      </c>
      <c r="Y4" s="1">
        <f t="shared" si="9"/>
        <v>0.40551724137931028</v>
      </c>
      <c r="Z4" s="1">
        <f t="shared" si="10"/>
        <v>0.59682758472749209</v>
      </c>
      <c r="AA4" s="1">
        <f t="shared" si="11"/>
        <v>0.48451188391870642</v>
      </c>
      <c r="AB4" s="1">
        <f t="shared" si="12"/>
        <v>0.44806640094742806</v>
      </c>
      <c r="AC4" s="1">
        <f t="shared" si="13"/>
        <v>0.551933599052572</v>
      </c>
      <c r="AE4" s="15">
        <f t="shared" si="14"/>
        <v>2</v>
      </c>
      <c r="AF4" s="15">
        <f t="shared" si="0"/>
        <v>0</v>
      </c>
    </row>
    <row r="5" spans="1:32" ht="27.6" x14ac:dyDescent="0.3">
      <c r="A5" s="7">
        <v>202207</v>
      </c>
      <c r="B5" s="8">
        <v>44747</v>
      </c>
      <c r="C5" s="7">
        <v>66</v>
      </c>
      <c r="D5" s="7">
        <v>110</v>
      </c>
      <c r="E5" s="7">
        <v>47</v>
      </c>
      <c r="F5" s="7">
        <v>16</v>
      </c>
      <c r="G5" s="7">
        <v>61</v>
      </c>
      <c r="H5" s="7">
        <v>23</v>
      </c>
      <c r="I5" s="7">
        <v>110</v>
      </c>
      <c r="J5" s="7" t="s">
        <v>19</v>
      </c>
      <c r="K5" s="7" t="s">
        <v>22</v>
      </c>
      <c r="L5" s="7" t="s">
        <v>21</v>
      </c>
      <c r="N5" s="1">
        <f t="shared" si="1"/>
        <v>0.67241379310344829</v>
      </c>
      <c r="O5" s="10">
        <f t="shared" si="2"/>
        <v>0.63809523809523805</v>
      </c>
      <c r="P5" s="1">
        <f t="shared" si="3"/>
        <v>0.16666666666666666</v>
      </c>
      <c r="Q5" s="1">
        <f t="shared" si="4"/>
        <v>0.36842105263157893</v>
      </c>
      <c r="R5" s="1">
        <f t="shared" si="5"/>
        <v>0.26829268292682928</v>
      </c>
      <c r="S5" s="1">
        <f t="shared" si="6"/>
        <v>0.3125</v>
      </c>
      <c r="T5" s="1">
        <f t="shared" si="7"/>
        <v>2.4263894334237612</v>
      </c>
      <c r="V5" s="1">
        <v>0.4</v>
      </c>
      <c r="W5" s="1">
        <f t="shared" si="8"/>
        <v>0.6</v>
      </c>
      <c r="X5" s="1">
        <f t="shared" si="15"/>
        <v>0.10758620689655175</v>
      </c>
      <c r="Y5" s="1">
        <f t="shared" si="9"/>
        <v>0.24206896551724139</v>
      </c>
      <c r="Z5" s="1">
        <f t="shared" si="10"/>
        <v>0.20303688979163609</v>
      </c>
      <c r="AA5" s="1">
        <f t="shared" si="11"/>
        <v>0.10798905465735539</v>
      </c>
      <c r="AB5" s="1">
        <f t="shared" si="12"/>
        <v>0.34720272242454581</v>
      </c>
      <c r="AC5" s="1">
        <f t="shared" si="13"/>
        <v>0.65279727757545425</v>
      </c>
      <c r="AE5" s="15">
        <f t="shared" si="14"/>
        <v>2</v>
      </c>
      <c r="AF5" s="15">
        <f t="shared" si="0"/>
        <v>0</v>
      </c>
    </row>
    <row r="6" spans="1:32" x14ac:dyDescent="0.3">
      <c r="A6" s="7">
        <v>202207</v>
      </c>
      <c r="B6" s="8">
        <v>44746</v>
      </c>
      <c r="C6" s="7">
        <v>56</v>
      </c>
      <c r="D6" s="7">
        <v>78</v>
      </c>
      <c r="E6" s="7">
        <v>49</v>
      </c>
      <c r="F6" s="7">
        <v>11</v>
      </c>
      <c r="G6" s="7">
        <v>60</v>
      </c>
      <c r="H6" s="7">
        <v>13</v>
      </c>
      <c r="I6" s="7">
        <v>78</v>
      </c>
      <c r="J6" s="7" t="s">
        <v>19</v>
      </c>
      <c r="K6" s="7" t="s">
        <v>20</v>
      </c>
      <c r="L6" s="7" t="s">
        <v>21</v>
      </c>
      <c r="N6" s="1">
        <f t="shared" si="1"/>
        <v>0.5</v>
      </c>
      <c r="O6" s="10">
        <f t="shared" si="2"/>
        <v>0.33333333333333331</v>
      </c>
      <c r="P6" s="1">
        <f t="shared" si="3"/>
        <v>0.33333333333333331</v>
      </c>
      <c r="Q6" s="1">
        <f t="shared" si="4"/>
        <v>0.10526315789473684</v>
      </c>
      <c r="R6" s="1">
        <f t="shared" si="5"/>
        <v>0.26219512195121952</v>
      </c>
      <c r="S6" s="1">
        <f t="shared" si="6"/>
        <v>0</v>
      </c>
      <c r="T6" s="1">
        <f t="shared" si="7"/>
        <v>1.5341249465126228</v>
      </c>
      <c r="V6" s="1">
        <v>0.5</v>
      </c>
      <c r="W6" s="1">
        <f t="shared" si="8"/>
        <v>0.5</v>
      </c>
      <c r="X6" s="1">
        <f t="shared" si="15"/>
        <v>0.125</v>
      </c>
      <c r="Y6" s="1">
        <f t="shared" si="9"/>
        <v>0.125</v>
      </c>
      <c r="Z6" s="1">
        <f t="shared" ref="Z6:Z66" si="16">(N6-$N$102)^2 + (O6-$O$102)^2 + (P6-$P$102)^2 + (Q6-$Q$102)^2 + (R6-$R$102)^2 + (S6-$S$102)^2</f>
        <v>0.47129919888143312</v>
      </c>
      <c r="AA6" s="1">
        <f t="shared" si="11"/>
        <v>0.3641380576834975</v>
      </c>
      <c r="AB6" s="1">
        <f t="shared" si="12"/>
        <v>0.4358652368230797</v>
      </c>
      <c r="AC6" s="1">
        <f t="shared" si="13"/>
        <v>0.56413476317692024</v>
      </c>
      <c r="AE6" s="15">
        <f t="shared" si="14"/>
        <v>2</v>
      </c>
      <c r="AF6" s="15">
        <f t="shared" si="0"/>
        <v>1</v>
      </c>
    </row>
    <row r="7" spans="1:32" ht="27.6" x14ac:dyDescent="0.3">
      <c r="A7" s="7">
        <v>202207</v>
      </c>
      <c r="B7" s="8">
        <v>44745</v>
      </c>
      <c r="C7" s="7">
        <v>78</v>
      </c>
      <c r="D7" s="7">
        <v>126</v>
      </c>
      <c r="E7" s="7">
        <v>48</v>
      </c>
      <c r="F7" s="7">
        <v>17</v>
      </c>
      <c r="G7" s="7">
        <v>126</v>
      </c>
      <c r="H7" s="7">
        <v>25</v>
      </c>
      <c r="I7" s="7">
        <v>126</v>
      </c>
      <c r="J7" s="7" t="s">
        <v>19</v>
      </c>
      <c r="K7" s="7" t="s">
        <v>22</v>
      </c>
      <c r="L7" s="7" t="s">
        <v>23</v>
      </c>
      <c r="N7" s="1">
        <f t="shared" si="1"/>
        <v>0.87931034482758619</v>
      </c>
      <c r="O7" s="10">
        <f t="shared" si="2"/>
        <v>0.79047619047619044</v>
      </c>
      <c r="P7" s="1">
        <f t="shared" si="3"/>
        <v>0.25</v>
      </c>
      <c r="Q7" s="1">
        <f t="shared" si="4"/>
        <v>0.42105263157894735</v>
      </c>
      <c r="R7" s="1">
        <f t="shared" si="5"/>
        <v>0.66463414634146345</v>
      </c>
      <c r="S7" s="1">
        <f t="shared" si="6"/>
        <v>0.375</v>
      </c>
      <c r="T7" s="1">
        <f t="shared" si="7"/>
        <v>3.3804733132241873</v>
      </c>
      <c r="V7" s="1">
        <v>0.6</v>
      </c>
      <c r="W7" s="1">
        <f t="shared" ref="W7:W66" si="17">1 - V7</f>
        <v>0.4</v>
      </c>
      <c r="X7" s="1">
        <f t="shared" si="15"/>
        <v>0.31655172413793103</v>
      </c>
      <c r="Y7" s="1">
        <f t="shared" si="9"/>
        <v>0.14068965517241383</v>
      </c>
      <c r="Z7" s="1">
        <f t="shared" si="16"/>
        <v>0.50856014394145788</v>
      </c>
      <c r="AA7" s="1">
        <f t="shared" si="11"/>
        <v>0.30975989603274368</v>
      </c>
      <c r="AB7" s="1">
        <f t="shared" si="12"/>
        <v>0.37853148022931127</v>
      </c>
      <c r="AC7" s="1">
        <f t="shared" si="13"/>
        <v>0.62146851977068873</v>
      </c>
      <c r="AE7" s="15">
        <f t="shared" si="14"/>
        <v>2</v>
      </c>
      <c r="AF7" s="15">
        <f t="shared" si="0"/>
        <v>0</v>
      </c>
    </row>
    <row r="8" spans="1:32" ht="27.6" x14ac:dyDescent="0.3">
      <c r="A8" s="7">
        <v>202207</v>
      </c>
      <c r="B8" s="8">
        <v>44744</v>
      </c>
      <c r="C8" s="7">
        <v>81</v>
      </c>
      <c r="D8" s="7">
        <v>137</v>
      </c>
      <c r="E8" s="7">
        <v>47</v>
      </c>
      <c r="F8" s="7">
        <v>18</v>
      </c>
      <c r="G8" s="7">
        <v>106</v>
      </c>
      <c r="H8" s="7">
        <v>29</v>
      </c>
      <c r="I8" s="7">
        <v>137</v>
      </c>
      <c r="J8" s="7" t="s">
        <v>19</v>
      </c>
      <c r="K8" s="7" t="s">
        <v>22</v>
      </c>
      <c r="L8" s="7" t="s">
        <v>21</v>
      </c>
      <c r="N8" s="1">
        <f t="shared" si="1"/>
        <v>0.93103448275862066</v>
      </c>
      <c r="O8" s="10">
        <f t="shared" si="2"/>
        <v>0.89523809523809528</v>
      </c>
      <c r="P8" s="1">
        <f t="shared" si="3"/>
        <v>0.16666666666666666</v>
      </c>
      <c r="Q8" s="1">
        <f t="shared" si="4"/>
        <v>0.47368421052631576</v>
      </c>
      <c r="R8" s="1">
        <f t="shared" si="5"/>
        <v>0.54268292682926833</v>
      </c>
      <c r="S8" s="1">
        <f t="shared" si="6"/>
        <v>0.5</v>
      </c>
      <c r="T8" s="1">
        <f t="shared" si="7"/>
        <v>3.5093063820189672</v>
      </c>
      <c r="V8" s="1">
        <v>0.7</v>
      </c>
      <c r="W8" s="1">
        <f t="shared" si="17"/>
        <v>0.30000000000000004</v>
      </c>
      <c r="X8" s="1">
        <f t="shared" si="15"/>
        <v>0.45620689655172408</v>
      </c>
      <c r="Y8" s="1">
        <f t="shared" si="9"/>
        <v>8.3793103448275882E-2</v>
      </c>
      <c r="Z8" s="1">
        <f t="shared" si="16"/>
        <v>0.53641792665527621</v>
      </c>
      <c r="AA8" s="1">
        <f t="shared" si="11"/>
        <v>0.36842455525640577</v>
      </c>
      <c r="AB8" s="1">
        <f t="shared" si="12"/>
        <v>0.40716982526950607</v>
      </c>
      <c r="AC8" s="1">
        <f t="shared" si="13"/>
        <v>0.59283017473049393</v>
      </c>
      <c r="AE8" s="15">
        <f t="shared" si="14"/>
        <v>2</v>
      </c>
      <c r="AF8" s="15">
        <f t="shared" si="0"/>
        <v>0</v>
      </c>
    </row>
    <row r="9" spans="1:32" ht="27.6" x14ac:dyDescent="0.3">
      <c r="A9" s="7">
        <v>202208</v>
      </c>
      <c r="B9" s="8">
        <v>44774</v>
      </c>
      <c r="C9" s="7">
        <v>68</v>
      </c>
      <c r="D9" s="7">
        <v>109</v>
      </c>
      <c r="E9" s="7">
        <v>50</v>
      </c>
      <c r="F9" s="7">
        <v>12</v>
      </c>
      <c r="G9" s="7">
        <v>91</v>
      </c>
      <c r="H9" s="7">
        <v>19</v>
      </c>
      <c r="I9" s="7">
        <v>109</v>
      </c>
      <c r="J9" s="7" t="s">
        <v>19</v>
      </c>
      <c r="K9" s="7" t="s">
        <v>22</v>
      </c>
      <c r="L9" s="7" t="s">
        <v>21</v>
      </c>
      <c r="N9" s="1">
        <f t="shared" si="1"/>
        <v>0.7068965517241379</v>
      </c>
      <c r="O9" s="10">
        <f t="shared" si="2"/>
        <v>0.62857142857142856</v>
      </c>
      <c r="P9" s="1">
        <f t="shared" si="3"/>
        <v>0.41666666666666669</v>
      </c>
      <c r="Q9" s="1">
        <f t="shared" si="4"/>
        <v>0.15789473684210525</v>
      </c>
      <c r="R9" s="1">
        <f t="shared" si="5"/>
        <v>0.45121951219512196</v>
      </c>
      <c r="S9" s="1">
        <f t="shared" si="6"/>
        <v>0.1875</v>
      </c>
      <c r="T9" s="1">
        <f t="shared" si="7"/>
        <v>2.5487488959994606</v>
      </c>
      <c r="V9" s="1">
        <v>0.8</v>
      </c>
      <c r="W9" s="1">
        <f t="shared" si="17"/>
        <v>0.19999999999999996</v>
      </c>
      <c r="X9" s="1">
        <f t="shared" si="15"/>
        <v>0.45241379310344837</v>
      </c>
      <c r="Y9" s="1">
        <f t="shared" si="9"/>
        <v>2.8275862068965502E-2</v>
      </c>
      <c r="Z9" s="1">
        <f t="shared" si="16"/>
        <v>0.34095818187178506</v>
      </c>
      <c r="AA9" s="1">
        <f t="shared" si="11"/>
        <v>0.18436547956609634</v>
      </c>
      <c r="AB9" s="1">
        <f t="shared" si="12"/>
        <v>0.35095597838000153</v>
      </c>
      <c r="AC9" s="1">
        <f t="shared" si="13"/>
        <v>0.64904402161999841</v>
      </c>
      <c r="AE9" s="15">
        <f t="shared" si="14"/>
        <v>2</v>
      </c>
      <c r="AF9" s="15">
        <f t="shared" ref="AF9:AF40" si="18">(VALUE(IF(OR(AND(AE9=2, K9="SEDANG"), AND(AE9=1, K9="TIDAK SEHAT")), 1, 0)))*1</f>
        <v>0</v>
      </c>
    </row>
    <row r="10" spans="1:32" ht="27.6" x14ac:dyDescent="0.3">
      <c r="A10" s="7">
        <v>202208</v>
      </c>
      <c r="B10" s="8">
        <v>44804</v>
      </c>
      <c r="C10" s="7">
        <v>85</v>
      </c>
      <c r="D10" s="7">
        <v>148</v>
      </c>
      <c r="E10" s="7">
        <v>51</v>
      </c>
      <c r="F10" s="7">
        <v>25</v>
      </c>
      <c r="G10" s="7">
        <v>74</v>
      </c>
      <c r="H10" s="7">
        <v>37</v>
      </c>
      <c r="I10" s="7">
        <v>148</v>
      </c>
      <c r="J10" s="7" t="s">
        <v>19</v>
      </c>
      <c r="K10" s="7" t="s">
        <v>22</v>
      </c>
      <c r="L10" s="7" t="s">
        <v>21</v>
      </c>
      <c r="N10" s="1">
        <f t="shared" si="1"/>
        <v>1</v>
      </c>
      <c r="O10" s="10">
        <f t="shared" si="2"/>
        <v>1</v>
      </c>
      <c r="P10" s="1">
        <f t="shared" si="3"/>
        <v>0.5</v>
      </c>
      <c r="Q10" s="1">
        <f t="shared" si="4"/>
        <v>0.84210526315789469</v>
      </c>
      <c r="R10" s="1">
        <f t="shared" si="5"/>
        <v>0.34756097560975607</v>
      </c>
      <c r="S10" s="1">
        <f t="shared" si="6"/>
        <v>0.75</v>
      </c>
      <c r="T10" s="1">
        <f t="shared" si="7"/>
        <v>4.4396662387676509</v>
      </c>
      <c r="V10" s="1">
        <v>0.9</v>
      </c>
      <c r="W10" s="1">
        <f t="shared" si="17"/>
        <v>9.9999999999999978E-2</v>
      </c>
      <c r="X10" s="1">
        <f t="shared" si="15"/>
        <v>0.81</v>
      </c>
      <c r="Y10" s="1">
        <f t="shared" si="9"/>
        <v>9.999999999999995E-3</v>
      </c>
      <c r="Z10" s="1">
        <f t="shared" si="16"/>
        <v>0.68750006519029661</v>
      </c>
      <c r="AA10" s="1">
        <f t="shared" si="11"/>
        <v>0.64005830970227706</v>
      </c>
      <c r="AB10" s="1">
        <f t="shared" si="12"/>
        <v>0.4821319512628367</v>
      </c>
      <c r="AC10" s="1">
        <f t="shared" si="13"/>
        <v>0.5178680487371633</v>
      </c>
      <c r="AE10" s="15">
        <f t="shared" si="14"/>
        <v>2</v>
      </c>
      <c r="AF10" s="15">
        <f t="shared" si="18"/>
        <v>0</v>
      </c>
    </row>
    <row r="11" spans="1:32" x14ac:dyDescent="0.3">
      <c r="A11" s="7">
        <v>202208</v>
      </c>
      <c r="B11" s="8">
        <v>44803</v>
      </c>
      <c r="C11" s="7">
        <v>59</v>
      </c>
      <c r="D11" s="7">
        <v>84</v>
      </c>
      <c r="E11" s="7">
        <v>50</v>
      </c>
      <c r="F11" s="7">
        <v>15</v>
      </c>
      <c r="G11" s="7">
        <v>56</v>
      </c>
      <c r="H11" s="7">
        <v>29</v>
      </c>
      <c r="I11" s="7">
        <v>84</v>
      </c>
      <c r="J11" s="7" t="s">
        <v>19</v>
      </c>
      <c r="K11" s="7" t="s">
        <v>20</v>
      </c>
      <c r="L11" s="7" t="s">
        <v>21</v>
      </c>
      <c r="N11" s="1">
        <f t="shared" si="1"/>
        <v>0.55172413793103448</v>
      </c>
      <c r="O11" s="10">
        <f t="shared" si="2"/>
        <v>0.39047619047619048</v>
      </c>
      <c r="P11" s="1">
        <f t="shared" si="3"/>
        <v>0.41666666666666669</v>
      </c>
      <c r="Q11" s="1">
        <f t="shared" si="4"/>
        <v>0.31578947368421051</v>
      </c>
      <c r="R11" s="1">
        <f t="shared" si="5"/>
        <v>0.23780487804878048</v>
      </c>
      <c r="S11" s="1">
        <f t="shared" si="6"/>
        <v>0.5</v>
      </c>
      <c r="T11" s="1">
        <f t="shared" si="7"/>
        <v>2.4124613468068827</v>
      </c>
      <c r="V11" s="1">
        <v>0.1</v>
      </c>
      <c r="W11" s="1">
        <f t="shared" si="17"/>
        <v>0.9</v>
      </c>
      <c r="X11" s="1">
        <f t="shared" si="15"/>
        <v>5.5172413793103461E-3</v>
      </c>
      <c r="Y11" s="1">
        <f t="shared" si="9"/>
        <v>0.44689655172413795</v>
      </c>
      <c r="Z11" s="1">
        <f t="shared" si="16"/>
        <v>3.32466075173918E-2</v>
      </c>
      <c r="AA11" s="1">
        <f t="shared" si="11"/>
        <v>4.2206855471726194E-2</v>
      </c>
      <c r="AB11" s="1">
        <f t="shared" si="12"/>
        <v>0.55937598885041662</v>
      </c>
      <c r="AC11" s="1">
        <f t="shared" si="13"/>
        <v>0.44062401114958338</v>
      </c>
      <c r="AE11" s="15">
        <f t="shared" si="14"/>
        <v>1</v>
      </c>
      <c r="AF11" s="15">
        <f t="shared" si="18"/>
        <v>0</v>
      </c>
    </row>
    <row r="12" spans="1:32" x14ac:dyDescent="0.3">
      <c r="A12" s="7">
        <v>202208</v>
      </c>
      <c r="B12" s="8">
        <v>44802</v>
      </c>
      <c r="C12" s="7">
        <v>58</v>
      </c>
      <c r="D12" s="7">
        <v>82</v>
      </c>
      <c r="E12" s="7">
        <v>49</v>
      </c>
      <c r="F12" s="7">
        <v>16</v>
      </c>
      <c r="G12" s="7">
        <v>55</v>
      </c>
      <c r="H12" s="7">
        <v>29</v>
      </c>
      <c r="I12" s="7">
        <v>82</v>
      </c>
      <c r="J12" s="7" t="s">
        <v>19</v>
      </c>
      <c r="K12" s="7" t="s">
        <v>20</v>
      </c>
      <c r="L12" s="7" t="s">
        <v>21</v>
      </c>
      <c r="N12" s="1">
        <f t="shared" si="1"/>
        <v>0.53448275862068961</v>
      </c>
      <c r="O12" s="10">
        <f t="shared" si="2"/>
        <v>0.37142857142857144</v>
      </c>
      <c r="P12" s="1">
        <f t="shared" si="3"/>
        <v>0.33333333333333331</v>
      </c>
      <c r="Q12" s="1">
        <f t="shared" si="4"/>
        <v>0.36842105263157893</v>
      </c>
      <c r="R12" s="1">
        <f t="shared" si="5"/>
        <v>0.23170731707317074</v>
      </c>
      <c r="S12" s="1">
        <f t="shared" si="6"/>
        <v>0.5</v>
      </c>
      <c r="T12" s="1">
        <f t="shared" si="7"/>
        <v>2.3393730330873441</v>
      </c>
      <c r="V12" s="1">
        <v>0.11</v>
      </c>
      <c r="W12" s="1">
        <f t="shared" si="17"/>
        <v>0.89</v>
      </c>
      <c r="X12" s="1">
        <f t="shared" si="15"/>
        <v>6.4672413793103439E-3</v>
      </c>
      <c r="Y12" s="1">
        <f t="shared" si="9"/>
        <v>0.42336379310344824</v>
      </c>
      <c r="Z12" s="1">
        <f t="shared" si="16"/>
        <v>3.9213416832592905E-2</v>
      </c>
      <c r="AA12" s="1">
        <f t="shared" si="11"/>
        <v>5.0475007830616613E-2</v>
      </c>
      <c r="AB12" s="1">
        <f t="shared" si="12"/>
        <v>0.56278174156984184</v>
      </c>
      <c r="AC12" s="1">
        <f t="shared" si="13"/>
        <v>0.43721825843015816</v>
      </c>
      <c r="AE12" s="15">
        <f t="shared" si="14"/>
        <v>1</v>
      </c>
      <c r="AF12" s="15">
        <f t="shared" si="18"/>
        <v>0</v>
      </c>
    </row>
    <row r="13" spans="1:32" x14ac:dyDescent="0.3">
      <c r="A13" s="7">
        <v>202208</v>
      </c>
      <c r="B13" s="8">
        <v>44801</v>
      </c>
      <c r="C13" s="7">
        <v>64</v>
      </c>
      <c r="D13" s="7">
        <v>85</v>
      </c>
      <c r="E13" s="7">
        <v>49</v>
      </c>
      <c r="F13" s="7">
        <v>17</v>
      </c>
      <c r="G13" s="7">
        <v>56</v>
      </c>
      <c r="H13" s="7">
        <v>30</v>
      </c>
      <c r="I13" s="7">
        <v>85</v>
      </c>
      <c r="J13" s="7" t="s">
        <v>19</v>
      </c>
      <c r="K13" s="7" t="s">
        <v>20</v>
      </c>
      <c r="L13" s="7" t="s">
        <v>24</v>
      </c>
      <c r="N13" s="1">
        <f t="shared" si="1"/>
        <v>0.63793103448275867</v>
      </c>
      <c r="O13" s="10">
        <f t="shared" si="2"/>
        <v>0.4</v>
      </c>
      <c r="P13" s="1">
        <f t="shared" si="3"/>
        <v>0.33333333333333331</v>
      </c>
      <c r="Q13" s="1">
        <f t="shared" si="4"/>
        <v>0.42105263157894735</v>
      </c>
      <c r="R13" s="1">
        <f t="shared" si="5"/>
        <v>0.23780487804878048</v>
      </c>
      <c r="S13" s="1">
        <f t="shared" si="6"/>
        <v>0.53125</v>
      </c>
      <c r="T13" s="1">
        <f t="shared" si="7"/>
        <v>2.5613718774438201</v>
      </c>
      <c r="V13" s="1">
        <v>0.12</v>
      </c>
      <c r="W13" s="1">
        <f t="shared" si="17"/>
        <v>0.88</v>
      </c>
      <c r="X13" s="1">
        <f t="shared" si="15"/>
        <v>9.1862068965517241E-3</v>
      </c>
      <c r="Y13" s="1">
        <f t="shared" si="9"/>
        <v>0.49401379310344828</v>
      </c>
      <c r="Z13" s="1">
        <f t="shared" si="16"/>
        <v>2.8069842700339905E-2</v>
      </c>
      <c r="AA13" s="1">
        <f t="shared" si="11"/>
        <v>3.1669919510463676E-2</v>
      </c>
      <c r="AB13" s="1">
        <f t="shared" si="12"/>
        <v>0.5301313285899949</v>
      </c>
      <c r="AC13" s="1">
        <f t="shared" si="13"/>
        <v>0.4698686714100051</v>
      </c>
      <c r="AE13" s="15">
        <f t="shared" si="14"/>
        <v>1</v>
      </c>
      <c r="AF13" s="15">
        <f t="shared" si="18"/>
        <v>0</v>
      </c>
    </row>
    <row r="14" spans="1:32" ht="27.6" x14ac:dyDescent="0.3">
      <c r="A14" s="7">
        <v>202208</v>
      </c>
      <c r="B14" s="8">
        <v>44800</v>
      </c>
      <c r="C14" s="7">
        <v>80</v>
      </c>
      <c r="D14" s="7">
        <v>130</v>
      </c>
      <c r="E14" s="7">
        <v>50</v>
      </c>
      <c r="F14" s="7">
        <v>25</v>
      </c>
      <c r="G14" s="7">
        <v>57</v>
      </c>
      <c r="H14" s="7">
        <v>37</v>
      </c>
      <c r="I14" s="7">
        <v>130</v>
      </c>
      <c r="J14" s="7" t="s">
        <v>19</v>
      </c>
      <c r="K14" s="7" t="s">
        <v>22</v>
      </c>
      <c r="L14" s="7" t="s">
        <v>21</v>
      </c>
      <c r="N14" s="1">
        <f t="shared" si="1"/>
        <v>0.91379310344827591</v>
      </c>
      <c r="O14" s="10">
        <f t="shared" si="2"/>
        <v>0.82857142857142863</v>
      </c>
      <c r="P14" s="1">
        <f t="shared" si="3"/>
        <v>0.41666666666666669</v>
      </c>
      <c r="Q14" s="1">
        <f t="shared" si="4"/>
        <v>0.84210526315789469</v>
      </c>
      <c r="R14" s="1">
        <f t="shared" si="5"/>
        <v>0.24390243902439024</v>
      </c>
      <c r="S14" s="1">
        <f t="shared" si="6"/>
        <v>0.75</v>
      </c>
      <c r="T14" s="1">
        <f t="shared" si="7"/>
        <v>3.9950389008686562</v>
      </c>
      <c r="V14" s="1">
        <v>0.13</v>
      </c>
      <c r="W14" s="1">
        <f t="shared" si="17"/>
        <v>0.87</v>
      </c>
      <c r="X14" s="1">
        <f t="shared" si="15"/>
        <v>1.5443103448275864E-2</v>
      </c>
      <c r="Y14" s="1">
        <f t="shared" si="9"/>
        <v>0.6916500000000001</v>
      </c>
      <c r="Z14" s="1">
        <f t="shared" si="16"/>
        <v>0.44329557903252526</v>
      </c>
      <c r="AA14" s="1">
        <f t="shared" si="11"/>
        <v>0.44105125462451589</v>
      </c>
      <c r="AB14" s="1">
        <f t="shared" si="12"/>
        <v>0.49873108359605456</v>
      </c>
      <c r="AC14" s="1">
        <f t="shared" si="13"/>
        <v>0.50126891640394544</v>
      </c>
      <c r="AE14" s="15">
        <f t="shared" si="14"/>
        <v>2</v>
      </c>
      <c r="AF14" s="15">
        <f t="shared" si="18"/>
        <v>0</v>
      </c>
    </row>
    <row r="15" spans="1:32" ht="27.6" x14ac:dyDescent="0.3">
      <c r="A15" s="7">
        <v>202208</v>
      </c>
      <c r="B15" s="8">
        <v>44799</v>
      </c>
      <c r="C15" s="7">
        <v>76</v>
      </c>
      <c r="D15" s="7">
        <v>119</v>
      </c>
      <c r="E15" s="7">
        <v>53</v>
      </c>
      <c r="F15" s="7">
        <v>19</v>
      </c>
      <c r="G15" s="7">
        <v>53</v>
      </c>
      <c r="H15" s="7">
        <v>31</v>
      </c>
      <c r="I15" s="7">
        <v>119</v>
      </c>
      <c r="J15" s="7" t="s">
        <v>19</v>
      </c>
      <c r="K15" s="7" t="s">
        <v>22</v>
      </c>
      <c r="L15" s="7" t="s">
        <v>21</v>
      </c>
      <c r="N15" s="1">
        <f t="shared" si="1"/>
        <v>0.84482758620689657</v>
      </c>
      <c r="O15" s="10">
        <f t="shared" si="2"/>
        <v>0.72380952380952379</v>
      </c>
      <c r="P15" s="1">
        <f t="shared" si="3"/>
        <v>0.66666666666666663</v>
      </c>
      <c r="Q15" s="1">
        <f t="shared" si="4"/>
        <v>0.52631578947368418</v>
      </c>
      <c r="R15" s="1">
        <f t="shared" si="5"/>
        <v>0.21951219512195122</v>
      </c>
      <c r="S15" s="1">
        <f t="shared" si="6"/>
        <v>0.5625</v>
      </c>
      <c r="T15" s="1">
        <f t="shared" si="7"/>
        <v>3.5436317612787223</v>
      </c>
      <c r="V15" s="1">
        <v>0.14000000000000001</v>
      </c>
      <c r="W15" s="1">
        <f t="shared" si="17"/>
        <v>0.86</v>
      </c>
      <c r="X15" s="1">
        <f t="shared" si="15"/>
        <v>1.6558620689655176E-2</v>
      </c>
      <c r="Y15" s="1">
        <f t="shared" si="9"/>
        <v>0.62483448275862064</v>
      </c>
      <c r="Z15" s="1">
        <f t="shared" si="16"/>
        <v>0.18913960425444928</v>
      </c>
      <c r="AA15" s="1">
        <f t="shared" si="11"/>
        <v>0.1732181586920728</v>
      </c>
      <c r="AB15" s="1">
        <f t="shared" si="12"/>
        <v>0.47803076518506071</v>
      </c>
      <c r="AC15" s="1">
        <f t="shared" si="13"/>
        <v>0.52196923481493929</v>
      </c>
      <c r="AE15" s="15">
        <f t="shared" si="14"/>
        <v>2</v>
      </c>
      <c r="AF15" s="15">
        <f t="shared" si="18"/>
        <v>0</v>
      </c>
    </row>
    <row r="16" spans="1:32" x14ac:dyDescent="0.3">
      <c r="A16" s="7">
        <v>202208</v>
      </c>
      <c r="B16" s="8">
        <v>44798</v>
      </c>
      <c r="C16" s="7">
        <v>64</v>
      </c>
      <c r="D16" s="7">
        <v>98</v>
      </c>
      <c r="E16" s="7">
        <v>50</v>
      </c>
      <c r="F16" s="7">
        <v>12</v>
      </c>
      <c r="G16" s="7">
        <v>66</v>
      </c>
      <c r="H16" s="7">
        <v>19</v>
      </c>
      <c r="I16" s="7">
        <v>98</v>
      </c>
      <c r="J16" s="7" t="s">
        <v>19</v>
      </c>
      <c r="K16" s="7" t="s">
        <v>20</v>
      </c>
      <c r="L16" s="7" t="s">
        <v>21</v>
      </c>
      <c r="N16" s="1">
        <f t="shared" si="1"/>
        <v>0.63793103448275867</v>
      </c>
      <c r="O16" s="10">
        <f t="shared" si="2"/>
        <v>0.52380952380952384</v>
      </c>
      <c r="P16" s="1">
        <f t="shared" si="3"/>
        <v>0.41666666666666669</v>
      </c>
      <c r="Q16" s="1">
        <f t="shared" si="4"/>
        <v>0.15789473684210525</v>
      </c>
      <c r="R16" s="1">
        <f t="shared" si="5"/>
        <v>0.29878048780487804</v>
      </c>
      <c r="S16" s="1">
        <f t="shared" si="6"/>
        <v>0.1875</v>
      </c>
      <c r="T16" s="1">
        <f t="shared" si="7"/>
        <v>2.2225824496059325</v>
      </c>
      <c r="V16" s="1">
        <v>0.15</v>
      </c>
      <c r="W16" s="1">
        <f t="shared" si="17"/>
        <v>0.85</v>
      </c>
      <c r="X16" s="1">
        <f t="shared" si="15"/>
        <v>1.4353448275862069E-2</v>
      </c>
      <c r="Y16" s="1">
        <f t="shared" si="9"/>
        <v>0.46090517241379308</v>
      </c>
      <c r="Z16" s="1">
        <f t="shared" si="16"/>
        <v>0.24547712290262375</v>
      </c>
      <c r="AA16" s="1">
        <f t="shared" si="11"/>
        <v>0.14122292158506361</v>
      </c>
      <c r="AB16" s="1">
        <f t="shared" si="12"/>
        <v>0.36520016896341517</v>
      </c>
      <c r="AC16" s="1">
        <f t="shared" si="13"/>
        <v>0.63479983103658477</v>
      </c>
      <c r="AE16" s="15">
        <f t="shared" si="14"/>
        <v>2</v>
      </c>
      <c r="AF16" s="15">
        <f t="shared" si="18"/>
        <v>1</v>
      </c>
    </row>
    <row r="17" spans="1:32" ht="27.6" x14ac:dyDescent="0.3">
      <c r="A17" s="7">
        <v>202208</v>
      </c>
      <c r="B17" s="8">
        <v>44797</v>
      </c>
      <c r="C17" s="7">
        <v>71</v>
      </c>
      <c r="D17" s="7">
        <v>119</v>
      </c>
      <c r="E17" s="7">
        <v>50</v>
      </c>
      <c r="F17" s="7">
        <v>15</v>
      </c>
      <c r="G17" s="7">
        <v>82</v>
      </c>
      <c r="H17" s="7">
        <v>20</v>
      </c>
      <c r="I17" s="7">
        <v>119</v>
      </c>
      <c r="J17" s="7" t="s">
        <v>19</v>
      </c>
      <c r="K17" s="7" t="s">
        <v>22</v>
      </c>
      <c r="L17" s="7" t="s">
        <v>21</v>
      </c>
      <c r="N17" s="1">
        <f t="shared" si="1"/>
        <v>0.75862068965517238</v>
      </c>
      <c r="O17" s="10">
        <f t="shared" si="2"/>
        <v>0.72380952380952379</v>
      </c>
      <c r="P17" s="1">
        <f t="shared" si="3"/>
        <v>0.41666666666666669</v>
      </c>
      <c r="Q17" s="1">
        <f t="shared" si="4"/>
        <v>0.31578947368421051</v>
      </c>
      <c r="R17" s="1">
        <f t="shared" si="5"/>
        <v>0.39634146341463417</v>
      </c>
      <c r="S17" s="1">
        <f t="shared" si="6"/>
        <v>0.21875</v>
      </c>
      <c r="T17" s="1">
        <f t="shared" si="7"/>
        <v>2.8299778172302075</v>
      </c>
      <c r="V17" s="1">
        <v>0.17</v>
      </c>
      <c r="W17" s="1">
        <f t="shared" si="17"/>
        <v>0.83</v>
      </c>
      <c r="X17" s="1">
        <f t="shared" si="15"/>
        <v>2.1924137931034485E-2</v>
      </c>
      <c r="Y17" s="1">
        <f t="shared" si="9"/>
        <v>0.52261379310344824</v>
      </c>
      <c r="Z17" s="1">
        <f t="shared" si="16"/>
        <v>0.28080003566836065</v>
      </c>
      <c r="AA17" s="1">
        <f t="shared" si="11"/>
        <v>0.13471138199748139</v>
      </c>
      <c r="AB17" s="1">
        <f t="shared" si="12"/>
        <v>0.32420621015477719</v>
      </c>
      <c r="AC17" s="1">
        <f t="shared" si="13"/>
        <v>0.67579378984522287</v>
      </c>
      <c r="AE17" s="15">
        <f t="shared" si="14"/>
        <v>2</v>
      </c>
      <c r="AF17" s="15">
        <f t="shared" si="18"/>
        <v>0</v>
      </c>
    </row>
    <row r="18" spans="1:32" ht="27.6" x14ac:dyDescent="0.3">
      <c r="A18" s="7">
        <v>202208</v>
      </c>
      <c r="B18" s="8">
        <v>44796</v>
      </c>
      <c r="C18" s="7">
        <v>76</v>
      </c>
      <c r="D18" s="7">
        <v>116</v>
      </c>
      <c r="E18" s="7">
        <v>49</v>
      </c>
      <c r="F18" s="7">
        <v>17</v>
      </c>
      <c r="G18" s="7">
        <v>81</v>
      </c>
      <c r="H18" s="7">
        <v>27</v>
      </c>
      <c r="I18" s="7">
        <v>116</v>
      </c>
      <c r="J18" s="7" t="s">
        <v>19</v>
      </c>
      <c r="K18" s="7" t="s">
        <v>22</v>
      </c>
      <c r="L18" s="7" t="s">
        <v>21</v>
      </c>
      <c r="N18" s="1">
        <f t="shared" si="1"/>
        <v>0.84482758620689657</v>
      </c>
      <c r="O18" s="10">
        <f t="shared" si="2"/>
        <v>0.69523809523809521</v>
      </c>
      <c r="P18" s="1">
        <f t="shared" si="3"/>
        <v>0.33333333333333331</v>
      </c>
      <c r="Q18" s="1">
        <f t="shared" si="4"/>
        <v>0.42105263157894735</v>
      </c>
      <c r="R18" s="1">
        <f t="shared" si="5"/>
        <v>0.3902439024390244</v>
      </c>
      <c r="S18" s="1">
        <f t="shared" si="6"/>
        <v>0.4375</v>
      </c>
      <c r="T18" s="1">
        <f t="shared" si="7"/>
        <v>3.1221955487962965</v>
      </c>
      <c r="V18" s="1">
        <v>0.18</v>
      </c>
      <c r="W18" s="1">
        <f t="shared" si="17"/>
        <v>0.82000000000000006</v>
      </c>
      <c r="X18" s="1">
        <f t="shared" si="15"/>
        <v>2.7372413793103449E-2</v>
      </c>
      <c r="Y18" s="1">
        <f t="shared" si="9"/>
        <v>0.56806206896551736</v>
      </c>
      <c r="Z18" s="1">
        <f t="shared" si="16"/>
        <v>0.20104575756750648</v>
      </c>
      <c r="AA18" s="1">
        <f t="shared" si="11"/>
        <v>9.446020740121E-2</v>
      </c>
      <c r="AB18" s="1">
        <f t="shared" si="12"/>
        <v>0.31965583981091533</v>
      </c>
      <c r="AC18" s="1">
        <f t="shared" si="13"/>
        <v>0.68034416018908472</v>
      </c>
      <c r="AE18" s="15">
        <f t="shared" si="14"/>
        <v>2</v>
      </c>
      <c r="AF18" s="15">
        <f t="shared" si="18"/>
        <v>0</v>
      </c>
    </row>
    <row r="19" spans="1:32" x14ac:dyDescent="0.3">
      <c r="A19" s="7">
        <v>202208</v>
      </c>
      <c r="B19" s="8">
        <v>44795</v>
      </c>
      <c r="C19" s="7">
        <v>57</v>
      </c>
      <c r="D19" s="7">
        <v>78</v>
      </c>
      <c r="E19" s="7">
        <v>49</v>
      </c>
      <c r="F19" s="7">
        <v>13</v>
      </c>
      <c r="G19" s="7">
        <v>79</v>
      </c>
      <c r="H19" s="7">
        <v>22</v>
      </c>
      <c r="I19" s="7">
        <v>79</v>
      </c>
      <c r="J19" s="7" t="s">
        <v>25</v>
      </c>
      <c r="K19" s="7" t="s">
        <v>20</v>
      </c>
      <c r="L19" s="7" t="s">
        <v>23</v>
      </c>
      <c r="N19" s="1">
        <f t="shared" si="1"/>
        <v>0.51724137931034486</v>
      </c>
      <c r="O19" s="10">
        <f t="shared" si="2"/>
        <v>0.33333333333333331</v>
      </c>
      <c r="P19" s="1">
        <f t="shared" si="3"/>
        <v>0.33333333333333331</v>
      </c>
      <c r="Q19" s="1">
        <f t="shared" si="4"/>
        <v>0.21052631578947367</v>
      </c>
      <c r="R19" s="1">
        <f t="shared" si="5"/>
        <v>0.37804878048780488</v>
      </c>
      <c r="S19" s="1">
        <f t="shared" si="6"/>
        <v>0.28125</v>
      </c>
      <c r="T19" s="1">
        <f t="shared" si="7"/>
        <v>2.0537331422542899</v>
      </c>
      <c r="V19" s="1">
        <v>0.19</v>
      </c>
      <c r="W19" s="1">
        <f t="shared" si="17"/>
        <v>0.81</v>
      </c>
      <c r="X19" s="1">
        <f t="shared" si="15"/>
        <v>1.867241379310345E-2</v>
      </c>
      <c r="Y19" s="1">
        <f t="shared" si="9"/>
        <v>0.33936206896551735</v>
      </c>
      <c r="Z19" s="1">
        <f t="shared" ref="Z19" si="19">(N19-$N$102)^2+(O19-$O$102)^2+(P19-$P$102)^2+(Q19-$Q$102)^2+(R19-$R$102)^2+(S19-$S$102)^2</f>
        <v>0.20616357924108869</v>
      </c>
      <c r="AA19" s="1">
        <f t="shared" si="11"/>
        <v>0.13762802740858343</v>
      </c>
      <c r="AB19" s="1">
        <f t="shared" si="12"/>
        <v>0.40032398914505229</v>
      </c>
      <c r="AC19" s="1">
        <f t="shared" si="13"/>
        <v>0.59967601085494771</v>
      </c>
      <c r="AE19" s="15">
        <f t="shared" si="14"/>
        <v>2</v>
      </c>
      <c r="AF19" s="15">
        <f t="shared" si="18"/>
        <v>1</v>
      </c>
    </row>
    <row r="20" spans="1:32" ht="27.6" x14ac:dyDescent="0.3">
      <c r="A20" s="7">
        <v>202208</v>
      </c>
      <c r="B20" s="8">
        <v>44794</v>
      </c>
      <c r="C20" s="7">
        <v>59</v>
      </c>
      <c r="D20" s="7">
        <v>101</v>
      </c>
      <c r="E20" s="7">
        <v>49</v>
      </c>
      <c r="F20" s="7">
        <v>13</v>
      </c>
      <c r="G20" s="7">
        <v>65</v>
      </c>
      <c r="H20" s="7">
        <v>17</v>
      </c>
      <c r="I20" s="7">
        <v>101</v>
      </c>
      <c r="J20" s="7" t="s">
        <v>19</v>
      </c>
      <c r="K20" s="7" t="s">
        <v>22</v>
      </c>
      <c r="L20" s="7" t="s">
        <v>21</v>
      </c>
      <c r="N20" s="1">
        <f t="shared" si="1"/>
        <v>0.55172413793103448</v>
      </c>
      <c r="O20" s="10">
        <f t="shared" si="2"/>
        <v>0.55238095238095242</v>
      </c>
      <c r="P20" s="1">
        <f t="shared" si="3"/>
        <v>0.33333333333333331</v>
      </c>
      <c r="Q20" s="1">
        <f t="shared" si="4"/>
        <v>0.21052631578947367</v>
      </c>
      <c r="R20" s="1">
        <f t="shared" si="5"/>
        <v>0.29268292682926828</v>
      </c>
      <c r="S20" s="1">
        <f t="shared" si="6"/>
        <v>0.125</v>
      </c>
      <c r="T20" s="1">
        <f t="shared" si="7"/>
        <v>2.0656476662640619</v>
      </c>
      <c r="V20" s="1">
        <v>0.2</v>
      </c>
      <c r="W20" s="1">
        <f t="shared" si="17"/>
        <v>0.8</v>
      </c>
      <c r="X20" s="1">
        <f t="shared" si="15"/>
        <v>2.2068965517241385E-2</v>
      </c>
      <c r="Y20" s="1">
        <f t="shared" si="9"/>
        <v>0.35310344827586215</v>
      </c>
      <c r="Z20" s="1">
        <f t="shared" si="16"/>
        <v>0.28140940119284674</v>
      </c>
      <c r="AA20" s="1">
        <f t="shared" si="11"/>
        <v>0.16967210861704957</v>
      </c>
      <c r="AB20" s="1">
        <f t="shared" si="12"/>
        <v>0.376145119955274</v>
      </c>
      <c r="AC20" s="1">
        <f t="shared" si="13"/>
        <v>0.623854880044726</v>
      </c>
      <c r="AE20" s="15">
        <f t="shared" si="14"/>
        <v>2</v>
      </c>
      <c r="AF20" s="15">
        <f t="shared" si="18"/>
        <v>0</v>
      </c>
    </row>
    <row r="21" spans="1:32" ht="27.6" x14ac:dyDescent="0.3">
      <c r="A21" s="7">
        <v>202208</v>
      </c>
      <c r="B21" s="8">
        <v>44793</v>
      </c>
      <c r="C21" s="7">
        <v>76</v>
      </c>
      <c r="D21" s="7">
        <v>117</v>
      </c>
      <c r="E21" s="7">
        <v>50</v>
      </c>
      <c r="F21" s="7">
        <v>14</v>
      </c>
      <c r="G21" s="7">
        <v>69</v>
      </c>
      <c r="H21" s="7">
        <v>18</v>
      </c>
      <c r="I21" s="7">
        <v>117</v>
      </c>
      <c r="J21" s="7" t="s">
        <v>19</v>
      </c>
      <c r="K21" s="7" t="s">
        <v>22</v>
      </c>
      <c r="L21" s="7" t="s">
        <v>21</v>
      </c>
      <c r="N21" s="1">
        <f t="shared" si="1"/>
        <v>0.84482758620689657</v>
      </c>
      <c r="O21" s="10">
        <f t="shared" si="2"/>
        <v>0.70476190476190481</v>
      </c>
      <c r="P21" s="1">
        <f t="shared" si="3"/>
        <v>0.41666666666666669</v>
      </c>
      <c r="Q21" s="1">
        <f t="shared" si="4"/>
        <v>0.26315789473684209</v>
      </c>
      <c r="R21" s="1">
        <f t="shared" si="5"/>
        <v>0.31707317073170732</v>
      </c>
      <c r="S21" s="1">
        <f t="shared" si="6"/>
        <v>0.15625</v>
      </c>
      <c r="T21" s="1">
        <f t="shared" si="7"/>
        <v>2.7027372231040174</v>
      </c>
      <c r="V21" s="1">
        <v>0.21</v>
      </c>
      <c r="W21" s="1">
        <f t="shared" si="17"/>
        <v>0.79</v>
      </c>
      <c r="X21" s="1">
        <f t="shared" si="15"/>
        <v>3.7256896551724136E-2</v>
      </c>
      <c r="Y21" s="1">
        <f t="shared" si="9"/>
        <v>0.52725689655172425</v>
      </c>
      <c r="Z21" s="1">
        <f t="shared" si="16"/>
        <v>0.34556508226649074</v>
      </c>
      <c r="AA21" s="1">
        <f t="shared" si="11"/>
        <v>0.19137127600281598</v>
      </c>
      <c r="AB21" s="1">
        <f t="shared" si="12"/>
        <v>0.35641333103174111</v>
      </c>
      <c r="AC21" s="1">
        <f t="shared" si="13"/>
        <v>0.64358666896825889</v>
      </c>
      <c r="AE21" s="15">
        <f t="shared" si="14"/>
        <v>2</v>
      </c>
      <c r="AF21" s="15">
        <f t="shared" si="18"/>
        <v>0</v>
      </c>
    </row>
    <row r="22" spans="1:32" ht="27.6" x14ac:dyDescent="0.3">
      <c r="A22" s="7">
        <v>202208</v>
      </c>
      <c r="B22" s="8">
        <v>44792</v>
      </c>
      <c r="C22" s="7">
        <v>70</v>
      </c>
      <c r="D22" s="7">
        <v>105</v>
      </c>
      <c r="E22" s="7">
        <v>49</v>
      </c>
      <c r="F22" s="7">
        <v>14</v>
      </c>
      <c r="G22" s="7">
        <v>66</v>
      </c>
      <c r="H22" s="7">
        <v>26</v>
      </c>
      <c r="I22" s="7">
        <v>105</v>
      </c>
      <c r="J22" s="7" t="s">
        <v>19</v>
      </c>
      <c r="K22" s="7" t="s">
        <v>22</v>
      </c>
      <c r="L22" s="7" t="s">
        <v>21</v>
      </c>
      <c r="N22" s="1">
        <f t="shared" si="1"/>
        <v>0.74137931034482762</v>
      </c>
      <c r="O22" s="10">
        <f t="shared" si="2"/>
        <v>0.59047619047619049</v>
      </c>
      <c r="P22" s="1">
        <f t="shared" si="3"/>
        <v>0.33333333333333331</v>
      </c>
      <c r="Q22" s="1">
        <f t="shared" si="4"/>
        <v>0.26315789473684209</v>
      </c>
      <c r="R22" s="1">
        <f t="shared" si="5"/>
        <v>0.29878048780487804</v>
      </c>
      <c r="S22" s="1">
        <f t="shared" si="6"/>
        <v>0.40625</v>
      </c>
      <c r="T22" s="1">
        <f t="shared" si="7"/>
        <v>2.6333772166960712</v>
      </c>
      <c r="V22" s="1">
        <v>0.22</v>
      </c>
      <c r="W22" s="1">
        <f t="shared" si="17"/>
        <v>0.78</v>
      </c>
      <c r="X22" s="1">
        <f t="shared" si="15"/>
        <v>3.5882758620689653E-2</v>
      </c>
      <c r="Y22" s="1">
        <f t="shared" si="9"/>
        <v>0.45105517241379317</v>
      </c>
      <c r="Z22" s="1">
        <f t="shared" si="16"/>
        <v>0.13437478735252553</v>
      </c>
      <c r="AA22" s="1">
        <f t="shared" si="11"/>
        <v>5.5696843468613873E-2</v>
      </c>
      <c r="AB22" s="1">
        <f t="shared" si="12"/>
        <v>0.29303080753290078</v>
      </c>
      <c r="AC22" s="1">
        <f t="shared" si="13"/>
        <v>0.70696919246709922</v>
      </c>
      <c r="AE22" s="15">
        <f t="shared" si="14"/>
        <v>2</v>
      </c>
      <c r="AF22" s="15">
        <f t="shared" si="18"/>
        <v>0</v>
      </c>
    </row>
    <row r="23" spans="1:32" x14ac:dyDescent="0.3">
      <c r="A23" s="7">
        <v>202208</v>
      </c>
      <c r="B23" s="8">
        <v>44791</v>
      </c>
      <c r="C23" s="7">
        <v>64</v>
      </c>
      <c r="D23" s="7">
        <v>89</v>
      </c>
      <c r="E23" s="7">
        <v>49</v>
      </c>
      <c r="F23" s="7">
        <v>25</v>
      </c>
      <c r="G23" s="7">
        <v>84</v>
      </c>
      <c r="H23" s="7">
        <v>28</v>
      </c>
      <c r="I23" s="7">
        <v>89</v>
      </c>
      <c r="J23" s="7" t="s">
        <v>19</v>
      </c>
      <c r="K23" s="7" t="s">
        <v>20</v>
      </c>
      <c r="L23" s="7" t="s">
        <v>21</v>
      </c>
      <c r="N23" s="1">
        <f t="shared" si="1"/>
        <v>0.63793103448275867</v>
      </c>
      <c r="O23" s="10">
        <f t="shared" si="2"/>
        <v>0.43809523809523809</v>
      </c>
      <c r="P23" s="1">
        <f t="shared" si="3"/>
        <v>0.33333333333333331</v>
      </c>
      <c r="Q23" s="1">
        <f t="shared" si="4"/>
        <v>0.84210526315789469</v>
      </c>
      <c r="R23" s="1">
        <f t="shared" si="5"/>
        <v>0.40853658536585363</v>
      </c>
      <c r="S23" s="1">
        <f t="shared" si="6"/>
        <v>0.46875</v>
      </c>
      <c r="T23" s="1">
        <f t="shared" si="7"/>
        <v>3.1287514544350787</v>
      </c>
      <c r="V23" s="1">
        <v>0.23</v>
      </c>
      <c r="W23" s="1">
        <f t="shared" si="17"/>
        <v>0.77</v>
      </c>
      <c r="X23" s="1">
        <f t="shared" si="15"/>
        <v>3.3746551724137937E-2</v>
      </c>
      <c r="Y23" s="1">
        <f t="shared" si="9"/>
        <v>0.3782293103448276</v>
      </c>
      <c r="Z23" s="1">
        <f t="shared" si="16"/>
        <v>0.22023987733969805</v>
      </c>
      <c r="AA23" s="1">
        <f t="shared" si="11"/>
        <v>0.19518149755053654</v>
      </c>
      <c r="AB23" s="1">
        <f t="shared" si="12"/>
        <v>0.46983980446867646</v>
      </c>
      <c r="AC23" s="1">
        <f t="shared" si="13"/>
        <v>0.53016019553132354</v>
      </c>
      <c r="AE23" s="15">
        <f t="shared" si="14"/>
        <v>2</v>
      </c>
      <c r="AF23" s="15">
        <f t="shared" si="18"/>
        <v>1</v>
      </c>
    </row>
    <row r="24" spans="1:32" ht="27.6" x14ac:dyDescent="0.3">
      <c r="A24" s="7">
        <v>202208</v>
      </c>
      <c r="B24" s="8">
        <v>44790</v>
      </c>
      <c r="C24" s="7">
        <v>55</v>
      </c>
      <c r="D24" s="7">
        <v>78</v>
      </c>
      <c r="E24" s="7">
        <v>48</v>
      </c>
      <c r="F24" s="7">
        <v>17</v>
      </c>
      <c r="G24" s="7">
        <v>108</v>
      </c>
      <c r="H24" s="7">
        <v>25</v>
      </c>
      <c r="I24" s="7">
        <v>108</v>
      </c>
      <c r="J24" s="7" t="s">
        <v>25</v>
      </c>
      <c r="K24" s="7" t="s">
        <v>22</v>
      </c>
      <c r="L24" s="7" t="s">
        <v>23</v>
      </c>
      <c r="N24" s="1">
        <f t="shared" si="1"/>
        <v>0.48275862068965519</v>
      </c>
      <c r="O24" s="10">
        <f t="shared" si="2"/>
        <v>0.33333333333333331</v>
      </c>
      <c r="P24" s="1">
        <f t="shared" si="3"/>
        <v>0.25</v>
      </c>
      <c r="Q24" s="1">
        <f t="shared" si="4"/>
        <v>0.42105263157894735</v>
      </c>
      <c r="R24" s="1">
        <f t="shared" si="5"/>
        <v>0.55487804878048785</v>
      </c>
      <c r="S24" s="1">
        <f t="shared" si="6"/>
        <v>0.375</v>
      </c>
      <c r="T24" s="1">
        <f t="shared" si="7"/>
        <v>2.4170226343824237</v>
      </c>
      <c r="V24" s="1">
        <v>0.24</v>
      </c>
      <c r="W24" s="1">
        <f t="shared" si="17"/>
        <v>0.76</v>
      </c>
      <c r="X24" s="1">
        <f t="shared" si="15"/>
        <v>2.780689655172414E-2</v>
      </c>
      <c r="Y24" s="1">
        <f t="shared" si="9"/>
        <v>0.27884137931034486</v>
      </c>
      <c r="Z24" s="1">
        <f t="shared" si="16"/>
        <v>0.23624238798021024</v>
      </c>
      <c r="AA24" s="1">
        <f t="shared" si="11"/>
        <v>0.16037086737223435</v>
      </c>
      <c r="AB24" s="1">
        <f t="shared" si="12"/>
        <v>0.40435075027868939</v>
      </c>
      <c r="AC24" s="1">
        <f t="shared" si="13"/>
        <v>0.59564924972131061</v>
      </c>
      <c r="AE24" s="15">
        <f t="shared" si="14"/>
        <v>2</v>
      </c>
      <c r="AF24" s="15">
        <f t="shared" si="18"/>
        <v>0</v>
      </c>
    </row>
    <row r="25" spans="1:32" ht="27.6" x14ac:dyDescent="0.3">
      <c r="A25" s="7">
        <v>202208</v>
      </c>
      <c r="B25" s="8">
        <v>44789</v>
      </c>
      <c r="C25" s="7">
        <v>61</v>
      </c>
      <c r="D25" s="7">
        <v>89</v>
      </c>
      <c r="E25" s="7">
        <v>51</v>
      </c>
      <c r="F25" s="7">
        <v>15</v>
      </c>
      <c r="G25" s="7">
        <v>181</v>
      </c>
      <c r="H25" s="7">
        <v>33</v>
      </c>
      <c r="I25" s="7">
        <v>181</v>
      </c>
      <c r="J25" s="7" t="s">
        <v>25</v>
      </c>
      <c r="K25" s="7" t="s">
        <v>22</v>
      </c>
      <c r="L25" s="7" t="s">
        <v>23</v>
      </c>
      <c r="N25" s="1">
        <f t="shared" si="1"/>
        <v>0.58620689655172409</v>
      </c>
      <c r="O25" s="10">
        <f t="shared" si="2"/>
        <v>0.43809523809523809</v>
      </c>
      <c r="P25" s="1">
        <f t="shared" si="3"/>
        <v>0.5</v>
      </c>
      <c r="Q25" s="1">
        <f t="shared" si="4"/>
        <v>0.31578947368421051</v>
      </c>
      <c r="R25" s="1">
        <f t="shared" si="5"/>
        <v>1</v>
      </c>
      <c r="S25" s="1">
        <f t="shared" si="6"/>
        <v>0.625</v>
      </c>
      <c r="T25" s="1">
        <f t="shared" si="7"/>
        <v>3.4650916083311727</v>
      </c>
      <c r="V25" s="1">
        <v>0.25</v>
      </c>
      <c r="W25" s="1">
        <f t="shared" si="17"/>
        <v>0.75</v>
      </c>
      <c r="X25" s="1">
        <f t="shared" si="15"/>
        <v>3.6637931034482756E-2</v>
      </c>
      <c r="Y25" s="1">
        <f t="shared" si="9"/>
        <v>0.32974137931034481</v>
      </c>
      <c r="Z25" s="1">
        <f t="shared" si="16"/>
        <v>0.68739193979691238</v>
      </c>
      <c r="AA25" s="1">
        <f t="shared" si="11"/>
        <v>0.55833786954781084</v>
      </c>
      <c r="AB25" s="1">
        <f t="shared" si="12"/>
        <v>0.44820142005071451</v>
      </c>
      <c r="AC25" s="1">
        <f t="shared" si="13"/>
        <v>0.55179857994928549</v>
      </c>
      <c r="AE25" s="15">
        <f t="shared" si="14"/>
        <v>2</v>
      </c>
      <c r="AF25" s="15">
        <f t="shared" si="18"/>
        <v>0</v>
      </c>
    </row>
    <row r="26" spans="1:32" x14ac:dyDescent="0.3">
      <c r="A26" s="7">
        <v>202208</v>
      </c>
      <c r="B26" s="8">
        <v>44788</v>
      </c>
      <c r="C26" s="7">
        <v>64</v>
      </c>
      <c r="D26" s="7">
        <v>84</v>
      </c>
      <c r="E26" s="7">
        <v>50</v>
      </c>
      <c r="F26" s="7">
        <v>17</v>
      </c>
      <c r="G26" s="7">
        <v>63</v>
      </c>
      <c r="H26" s="7">
        <v>28</v>
      </c>
      <c r="I26" s="7">
        <v>84</v>
      </c>
      <c r="J26" s="7" t="s">
        <v>19</v>
      </c>
      <c r="K26" s="7" t="s">
        <v>20</v>
      </c>
      <c r="L26" s="7" t="s">
        <v>21</v>
      </c>
      <c r="N26" s="1">
        <f t="shared" si="1"/>
        <v>0.63793103448275867</v>
      </c>
      <c r="O26" s="10">
        <f t="shared" si="2"/>
        <v>0.39047619047619048</v>
      </c>
      <c r="P26" s="1">
        <f t="shared" si="3"/>
        <v>0.41666666666666669</v>
      </c>
      <c r="Q26" s="1">
        <f t="shared" si="4"/>
        <v>0.42105263157894735</v>
      </c>
      <c r="R26" s="1">
        <f t="shared" si="5"/>
        <v>0.28048780487804881</v>
      </c>
      <c r="S26" s="1">
        <f t="shared" si="6"/>
        <v>0.46875</v>
      </c>
      <c r="T26" s="1">
        <f t="shared" si="7"/>
        <v>2.6153643280826122</v>
      </c>
      <c r="V26" s="1">
        <v>0.26</v>
      </c>
      <c r="W26" s="1">
        <f t="shared" si="17"/>
        <v>0.74</v>
      </c>
      <c r="X26" s="1">
        <f t="shared" si="15"/>
        <v>4.3124137931034492E-2</v>
      </c>
      <c r="Y26" s="1">
        <f t="shared" si="9"/>
        <v>0.34933103448275865</v>
      </c>
      <c r="Z26" s="1">
        <f t="shared" si="16"/>
        <v>2.604620125869464E-2</v>
      </c>
      <c r="AA26" s="1">
        <f t="shared" si="11"/>
        <v>1.4875185512555811E-2</v>
      </c>
      <c r="AB26" s="1">
        <f t="shared" si="12"/>
        <v>0.36350638837602772</v>
      </c>
      <c r="AC26" s="1">
        <f t="shared" si="13"/>
        <v>0.63649361162397233</v>
      </c>
      <c r="AE26" s="15">
        <f t="shared" si="14"/>
        <v>2</v>
      </c>
      <c r="AF26" s="15">
        <f t="shared" si="18"/>
        <v>1</v>
      </c>
    </row>
    <row r="27" spans="1:32" x14ac:dyDescent="0.3">
      <c r="A27" s="7">
        <v>202208</v>
      </c>
      <c r="B27" s="8">
        <v>44787</v>
      </c>
      <c r="C27" s="7">
        <v>68</v>
      </c>
      <c r="D27" s="7">
        <v>93</v>
      </c>
      <c r="E27" s="7">
        <v>50</v>
      </c>
      <c r="F27" s="7">
        <v>14</v>
      </c>
      <c r="G27" s="7">
        <v>80</v>
      </c>
      <c r="H27" s="7">
        <v>20</v>
      </c>
      <c r="I27" s="7">
        <v>93</v>
      </c>
      <c r="J27" s="7" t="s">
        <v>19</v>
      </c>
      <c r="K27" s="7" t="s">
        <v>20</v>
      </c>
      <c r="L27" s="7" t="s">
        <v>21</v>
      </c>
      <c r="N27" s="1">
        <f t="shared" si="1"/>
        <v>0.7068965517241379</v>
      </c>
      <c r="O27" s="10">
        <f t="shared" si="2"/>
        <v>0.47619047619047616</v>
      </c>
      <c r="P27" s="1">
        <f t="shared" si="3"/>
        <v>0.41666666666666669</v>
      </c>
      <c r="Q27" s="1">
        <f t="shared" si="4"/>
        <v>0.26315789473684209</v>
      </c>
      <c r="R27" s="1">
        <f t="shared" si="5"/>
        <v>0.38414634146341464</v>
      </c>
      <c r="S27" s="1">
        <f t="shared" si="6"/>
        <v>0.21875</v>
      </c>
      <c r="T27" s="1">
        <f t="shared" si="7"/>
        <v>2.4658079307815375</v>
      </c>
      <c r="V27" s="1">
        <v>0.27</v>
      </c>
      <c r="W27" s="1">
        <f t="shared" si="17"/>
        <v>0.73</v>
      </c>
      <c r="X27" s="1">
        <f t="shared" si="15"/>
        <v>5.1532758620689657E-2</v>
      </c>
      <c r="Y27" s="1">
        <f t="shared" si="9"/>
        <v>0.37670517241379303</v>
      </c>
      <c r="Z27" s="1">
        <f t="shared" si="16"/>
        <v>0.20528523585582886</v>
      </c>
      <c r="AA27" s="1">
        <f t="shared" si="11"/>
        <v>9.23995982106319E-2</v>
      </c>
      <c r="AB27" s="1">
        <f t="shared" si="12"/>
        <v>0.31039403972458629</v>
      </c>
      <c r="AC27" s="1">
        <f t="shared" si="13"/>
        <v>0.68960596027541365</v>
      </c>
      <c r="AE27" s="15">
        <f t="shared" si="14"/>
        <v>2</v>
      </c>
      <c r="AF27" s="15">
        <f t="shared" si="18"/>
        <v>1</v>
      </c>
    </row>
    <row r="28" spans="1:32" x14ac:dyDescent="0.3">
      <c r="A28" s="7">
        <v>202208</v>
      </c>
      <c r="B28" s="8">
        <v>44786</v>
      </c>
      <c r="C28" s="7">
        <v>58</v>
      </c>
      <c r="D28" s="7">
        <v>77</v>
      </c>
      <c r="E28" s="7">
        <v>48</v>
      </c>
      <c r="F28" s="7">
        <v>21</v>
      </c>
      <c r="G28" s="7">
        <v>76</v>
      </c>
      <c r="H28" s="7">
        <v>36</v>
      </c>
      <c r="I28" s="7">
        <v>77</v>
      </c>
      <c r="J28" s="7" t="s">
        <v>19</v>
      </c>
      <c r="K28" s="7" t="s">
        <v>20</v>
      </c>
      <c r="L28" s="7" t="s">
        <v>24</v>
      </c>
      <c r="N28" s="1">
        <f t="shared" si="1"/>
        <v>0.53448275862068961</v>
      </c>
      <c r="O28" s="10">
        <f t="shared" si="2"/>
        <v>0.32380952380952382</v>
      </c>
      <c r="P28" s="1">
        <f t="shared" si="3"/>
        <v>0.25</v>
      </c>
      <c r="Q28" s="1">
        <f t="shared" si="4"/>
        <v>0.63157894736842102</v>
      </c>
      <c r="R28" s="1">
        <f t="shared" si="5"/>
        <v>0.3597560975609756</v>
      </c>
      <c r="S28" s="1">
        <f t="shared" si="6"/>
        <v>0.71875</v>
      </c>
      <c r="T28" s="1">
        <f t="shared" si="7"/>
        <v>2.81837732735961</v>
      </c>
      <c r="V28" s="1">
        <v>0.28000000000000003</v>
      </c>
      <c r="W28" s="1">
        <f t="shared" si="17"/>
        <v>0.72</v>
      </c>
      <c r="X28" s="1">
        <f t="shared" si="15"/>
        <v>4.1903448275862072E-2</v>
      </c>
      <c r="Y28" s="1">
        <f t="shared" si="9"/>
        <v>0.27707586206896551</v>
      </c>
      <c r="Z28" s="1">
        <f t="shared" si="16"/>
        <v>0.15254246366793359</v>
      </c>
      <c r="AA28" s="1">
        <f t="shared" si="11"/>
        <v>0.19707209926122482</v>
      </c>
      <c r="AB28" s="1">
        <f t="shared" si="12"/>
        <v>0.56368389694669874</v>
      </c>
      <c r="AC28" s="1">
        <f t="shared" si="13"/>
        <v>0.43631610305330126</v>
      </c>
      <c r="AE28" s="15">
        <f t="shared" si="14"/>
        <v>1</v>
      </c>
      <c r="AF28" s="15">
        <f t="shared" si="18"/>
        <v>0</v>
      </c>
    </row>
    <row r="29" spans="1:32" x14ac:dyDescent="0.3">
      <c r="A29" s="7">
        <v>202208</v>
      </c>
      <c r="B29" s="8">
        <v>44785</v>
      </c>
      <c r="C29" s="7">
        <v>65</v>
      </c>
      <c r="D29" s="7">
        <v>94</v>
      </c>
      <c r="E29" s="7">
        <v>49</v>
      </c>
      <c r="F29" s="7">
        <v>17</v>
      </c>
      <c r="G29" s="7">
        <v>97</v>
      </c>
      <c r="H29" s="7">
        <v>25</v>
      </c>
      <c r="I29" s="7">
        <v>97</v>
      </c>
      <c r="J29" s="7" t="s">
        <v>25</v>
      </c>
      <c r="K29" s="7" t="s">
        <v>20</v>
      </c>
      <c r="L29" s="7" t="s">
        <v>23</v>
      </c>
      <c r="N29" s="1">
        <f t="shared" si="1"/>
        <v>0.65517241379310343</v>
      </c>
      <c r="O29" s="10">
        <f t="shared" si="2"/>
        <v>0.48571428571428571</v>
      </c>
      <c r="P29" s="1">
        <f t="shared" si="3"/>
        <v>0.33333333333333331</v>
      </c>
      <c r="Q29" s="1">
        <f t="shared" si="4"/>
        <v>0.42105263157894735</v>
      </c>
      <c r="R29" s="1">
        <f t="shared" si="5"/>
        <v>0.48780487804878048</v>
      </c>
      <c r="S29" s="1">
        <f t="shared" si="6"/>
        <v>0.375</v>
      </c>
      <c r="T29" s="1">
        <f t="shared" si="7"/>
        <v>2.7580775424684503</v>
      </c>
      <c r="V29" s="1">
        <v>0.28999999999999998</v>
      </c>
      <c r="W29" s="1">
        <f t="shared" si="17"/>
        <v>0.71</v>
      </c>
      <c r="X29" s="1">
        <f t="shared" si="15"/>
        <v>5.5099999999999996E-2</v>
      </c>
      <c r="Y29" s="1">
        <f t="shared" si="9"/>
        <v>0.33027241379310346</v>
      </c>
      <c r="Z29" s="1">
        <f t="shared" si="16"/>
        <v>0.1455106981863597</v>
      </c>
      <c r="AA29" s="1">
        <f t="shared" si="11"/>
        <v>5.1881352576558376E-2</v>
      </c>
      <c r="AB29" s="1">
        <f t="shared" si="12"/>
        <v>0.26283405221252593</v>
      </c>
      <c r="AC29" s="1">
        <f t="shared" si="13"/>
        <v>0.73716594778747413</v>
      </c>
      <c r="AE29" s="15">
        <f t="shared" si="14"/>
        <v>2</v>
      </c>
      <c r="AF29" s="15">
        <f t="shared" si="18"/>
        <v>1</v>
      </c>
    </row>
    <row r="30" spans="1:32" ht="27.6" x14ac:dyDescent="0.3">
      <c r="A30" s="7">
        <v>202208</v>
      </c>
      <c r="B30" s="8">
        <v>44784</v>
      </c>
      <c r="C30" s="7">
        <v>74</v>
      </c>
      <c r="D30" s="7">
        <v>107</v>
      </c>
      <c r="E30" s="7">
        <v>52</v>
      </c>
      <c r="F30" s="7">
        <v>19</v>
      </c>
      <c r="G30" s="7">
        <v>80</v>
      </c>
      <c r="H30" s="7">
        <v>27</v>
      </c>
      <c r="I30" s="7">
        <v>107</v>
      </c>
      <c r="J30" s="7" t="s">
        <v>19</v>
      </c>
      <c r="K30" s="7" t="s">
        <v>22</v>
      </c>
      <c r="L30" s="7" t="s">
        <v>21</v>
      </c>
      <c r="N30" s="1">
        <f t="shared" si="1"/>
        <v>0.81034482758620685</v>
      </c>
      <c r="O30" s="10">
        <f t="shared" si="2"/>
        <v>0.60952380952380958</v>
      </c>
      <c r="P30" s="1">
        <f t="shared" si="3"/>
        <v>0.58333333333333337</v>
      </c>
      <c r="Q30" s="1">
        <f t="shared" si="4"/>
        <v>0.52631578947368418</v>
      </c>
      <c r="R30" s="1">
        <f t="shared" si="5"/>
        <v>0.38414634146341464</v>
      </c>
      <c r="S30" s="1">
        <f t="shared" si="6"/>
        <v>0.4375</v>
      </c>
      <c r="T30" s="1">
        <f t="shared" si="7"/>
        <v>3.3511641013804487</v>
      </c>
      <c r="V30" s="1">
        <v>0.3</v>
      </c>
      <c r="W30" s="1">
        <f t="shared" si="17"/>
        <v>0.7</v>
      </c>
      <c r="X30" s="1">
        <f t="shared" si="15"/>
        <v>7.2931034482758617E-2</v>
      </c>
      <c r="Y30" s="1">
        <f t="shared" si="9"/>
        <v>0.3970689655172413</v>
      </c>
      <c r="Z30" s="1">
        <f t="shared" si="16"/>
        <v>0.14597522513143193</v>
      </c>
      <c r="AA30" s="1">
        <f t="shared" si="11"/>
        <v>7.9573343535974311E-2</v>
      </c>
      <c r="AB30" s="1">
        <f t="shared" si="12"/>
        <v>0.35279915100376052</v>
      </c>
      <c r="AC30" s="1">
        <f t="shared" si="13"/>
        <v>0.64720084899623953</v>
      </c>
      <c r="AE30" s="15">
        <f t="shared" si="14"/>
        <v>2</v>
      </c>
      <c r="AF30" s="15">
        <f t="shared" si="18"/>
        <v>0</v>
      </c>
    </row>
    <row r="31" spans="1:32" ht="27.6" x14ac:dyDescent="0.3">
      <c r="A31" s="7">
        <v>202208</v>
      </c>
      <c r="B31" s="8">
        <v>44783</v>
      </c>
      <c r="C31" s="7">
        <v>73</v>
      </c>
      <c r="D31" s="7">
        <v>116</v>
      </c>
      <c r="E31" s="7">
        <v>49</v>
      </c>
      <c r="F31" s="7">
        <v>19</v>
      </c>
      <c r="G31" s="7">
        <v>82</v>
      </c>
      <c r="H31" s="7">
        <v>29</v>
      </c>
      <c r="I31" s="7">
        <v>116</v>
      </c>
      <c r="J31" s="7" t="s">
        <v>19</v>
      </c>
      <c r="K31" s="7" t="s">
        <v>22</v>
      </c>
      <c r="L31" s="7" t="s">
        <v>21</v>
      </c>
      <c r="N31" s="1">
        <f t="shared" si="1"/>
        <v>0.7931034482758621</v>
      </c>
      <c r="O31" s="10">
        <f t="shared" si="2"/>
        <v>0.69523809523809521</v>
      </c>
      <c r="P31" s="1">
        <f t="shared" si="3"/>
        <v>0.33333333333333331</v>
      </c>
      <c r="Q31" s="1">
        <f t="shared" si="4"/>
        <v>0.52631578947368418</v>
      </c>
      <c r="R31" s="1">
        <f t="shared" si="5"/>
        <v>0.39634146341463417</v>
      </c>
      <c r="S31" s="1">
        <f t="shared" si="6"/>
        <v>0.5</v>
      </c>
      <c r="T31" s="1">
        <f t="shared" si="7"/>
        <v>3.2443321297356089</v>
      </c>
      <c r="V31" s="1">
        <v>0.31</v>
      </c>
      <c r="W31" s="1">
        <f t="shared" si="17"/>
        <v>0.69</v>
      </c>
      <c r="X31" s="1">
        <f t="shared" si="15"/>
        <v>7.6217241379310352E-2</v>
      </c>
      <c r="Y31" s="1">
        <f t="shared" si="9"/>
        <v>0.37759655172413786</v>
      </c>
      <c r="Z31" s="1">
        <f t="shared" si="16"/>
        <v>0.17138795369354404</v>
      </c>
      <c r="AA31" s="1">
        <f t="shared" si="11"/>
        <v>8.9265597037216302E-2</v>
      </c>
      <c r="AB31" s="1">
        <f t="shared" si="12"/>
        <v>0.34246837147222431</v>
      </c>
      <c r="AC31" s="1">
        <f t="shared" si="13"/>
        <v>0.65753162852777569</v>
      </c>
      <c r="AE31" s="15">
        <f t="shared" si="14"/>
        <v>2</v>
      </c>
      <c r="AF31" s="15">
        <f t="shared" si="18"/>
        <v>0</v>
      </c>
    </row>
    <row r="32" spans="1:32" ht="27.6" x14ac:dyDescent="0.3">
      <c r="A32" s="7">
        <v>202208</v>
      </c>
      <c r="B32" s="8">
        <v>44782</v>
      </c>
      <c r="C32" s="7">
        <v>61</v>
      </c>
      <c r="D32" s="7">
        <v>88</v>
      </c>
      <c r="E32" s="7">
        <v>50</v>
      </c>
      <c r="F32" s="7">
        <v>14</v>
      </c>
      <c r="G32" s="7">
        <v>103</v>
      </c>
      <c r="H32" s="7">
        <v>21</v>
      </c>
      <c r="I32" s="7">
        <v>103</v>
      </c>
      <c r="J32" s="7" t="s">
        <v>25</v>
      </c>
      <c r="K32" s="7" t="s">
        <v>22</v>
      </c>
      <c r="L32" s="7" t="s">
        <v>23</v>
      </c>
      <c r="N32" s="1">
        <f t="shared" si="1"/>
        <v>0.58620689655172409</v>
      </c>
      <c r="O32" s="10">
        <f t="shared" si="2"/>
        <v>0.42857142857142855</v>
      </c>
      <c r="P32" s="1">
        <f t="shared" si="3"/>
        <v>0.41666666666666669</v>
      </c>
      <c r="Q32" s="1">
        <f t="shared" si="4"/>
        <v>0.26315789473684209</v>
      </c>
      <c r="R32" s="1">
        <f t="shared" si="5"/>
        <v>0.52439024390243905</v>
      </c>
      <c r="S32" s="1">
        <f t="shared" si="6"/>
        <v>0.25</v>
      </c>
      <c r="T32" s="1">
        <f t="shared" si="7"/>
        <v>2.4689931304291006</v>
      </c>
      <c r="V32" s="1">
        <v>0.32</v>
      </c>
      <c r="W32" s="1">
        <f t="shared" si="17"/>
        <v>0.67999999999999994</v>
      </c>
      <c r="X32" s="1">
        <f t="shared" si="15"/>
        <v>6.0027586206896549E-2</v>
      </c>
      <c r="Y32" s="1">
        <f t="shared" si="9"/>
        <v>0.27106206896551716</v>
      </c>
      <c r="Z32" s="1">
        <f t="shared" si="16"/>
        <v>0.24427420062901295</v>
      </c>
      <c r="AA32" s="1">
        <f t="shared" si="11"/>
        <v>0.12859188068473454</v>
      </c>
      <c r="AB32" s="1">
        <f t="shared" si="12"/>
        <v>0.34487417099366341</v>
      </c>
      <c r="AC32" s="1">
        <f t="shared" si="13"/>
        <v>0.65512582900633665</v>
      </c>
      <c r="AE32" s="15">
        <f t="shared" si="14"/>
        <v>2</v>
      </c>
      <c r="AF32" s="15">
        <f t="shared" si="18"/>
        <v>0</v>
      </c>
    </row>
    <row r="33" spans="1:32" x14ac:dyDescent="0.3">
      <c r="A33" s="7">
        <v>202208</v>
      </c>
      <c r="B33" s="8">
        <v>44781</v>
      </c>
      <c r="C33" s="7">
        <v>60</v>
      </c>
      <c r="D33" s="7">
        <v>84</v>
      </c>
      <c r="E33" s="7">
        <v>48</v>
      </c>
      <c r="F33" s="7">
        <v>18</v>
      </c>
      <c r="G33" s="7">
        <v>97</v>
      </c>
      <c r="H33" s="7">
        <v>27</v>
      </c>
      <c r="I33" s="7">
        <v>97</v>
      </c>
      <c r="J33" s="7" t="s">
        <v>25</v>
      </c>
      <c r="K33" s="7" t="s">
        <v>20</v>
      </c>
      <c r="L33" s="7" t="s">
        <v>23</v>
      </c>
      <c r="N33" s="1">
        <f t="shared" si="1"/>
        <v>0.56896551724137934</v>
      </c>
      <c r="O33" s="10">
        <f t="shared" si="2"/>
        <v>0.39047619047619048</v>
      </c>
      <c r="P33" s="1">
        <f t="shared" si="3"/>
        <v>0.25</v>
      </c>
      <c r="Q33" s="1">
        <f t="shared" si="4"/>
        <v>0.47368421052631576</v>
      </c>
      <c r="R33" s="1">
        <f t="shared" si="5"/>
        <v>0.48780487804878048</v>
      </c>
      <c r="S33" s="1">
        <f t="shared" si="6"/>
        <v>0.4375</v>
      </c>
      <c r="T33" s="1">
        <f t="shared" si="7"/>
        <v>2.6084307962926658</v>
      </c>
      <c r="V33" s="1">
        <v>0.33</v>
      </c>
      <c r="W33" s="1">
        <f t="shared" si="17"/>
        <v>0.66999999999999993</v>
      </c>
      <c r="X33" s="1">
        <f t="shared" si="15"/>
        <v>6.1960344827586215E-2</v>
      </c>
      <c r="Y33" s="1">
        <f t="shared" si="9"/>
        <v>0.25540862068965514</v>
      </c>
      <c r="Z33" s="1">
        <f t="shared" si="16"/>
        <v>0.15256836875423022</v>
      </c>
      <c r="AA33" s="1">
        <f t="shared" si="11"/>
        <v>9.0058719915156557E-2</v>
      </c>
      <c r="AB33" s="1">
        <f t="shared" si="12"/>
        <v>0.37118163684465633</v>
      </c>
      <c r="AC33" s="1">
        <f t="shared" si="13"/>
        <v>0.62881836315534367</v>
      </c>
      <c r="AE33" s="15">
        <f t="shared" si="14"/>
        <v>2</v>
      </c>
      <c r="AF33" s="15">
        <f t="shared" si="18"/>
        <v>1</v>
      </c>
    </row>
    <row r="34" spans="1:32" ht="27.6" x14ac:dyDescent="0.3">
      <c r="A34" s="7">
        <v>202208</v>
      </c>
      <c r="B34" s="8">
        <v>44780</v>
      </c>
      <c r="C34" s="7">
        <v>76</v>
      </c>
      <c r="D34" s="7">
        <v>119</v>
      </c>
      <c r="E34" s="7">
        <v>50</v>
      </c>
      <c r="F34" s="7">
        <v>18</v>
      </c>
      <c r="G34" s="7">
        <v>114</v>
      </c>
      <c r="H34" s="7">
        <v>29</v>
      </c>
      <c r="I34" s="7">
        <v>119</v>
      </c>
      <c r="J34" s="7" t="s">
        <v>19</v>
      </c>
      <c r="K34" s="7" t="s">
        <v>22</v>
      </c>
      <c r="L34" s="7" t="s">
        <v>21</v>
      </c>
      <c r="N34" s="1">
        <f t="shared" si="1"/>
        <v>0.84482758620689657</v>
      </c>
      <c r="O34" s="10">
        <f t="shared" si="2"/>
        <v>0.72380952380952379</v>
      </c>
      <c r="P34" s="1">
        <f t="shared" si="3"/>
        <v>0.41666666666666669</v>
      </c>
      <c r="Q34" s="1">
        <f t="shared" si="4"/>
        <v>0.47368421052631576</v>
      </c>
      <c r="R34" s="1">
        <f t="shared" si="5"/>
        <v>0.59146341463414631</v>
      </c>
      <c r="S34" s="1">
        <f t="shared" si="6"/>
        <v>0.5</v>
      </c>
      <c r="T34" s="1">
        <f t="shared" si="7"/>
        <v>3.5504514018435489</v>
      </c>
      <c r="V34" s="1">
        <v>0.34</v>
      </c>
      <c r="W34" s="1">
        <f t="shared" si="17"/>
        <v>0.65999999999999992</v>
      </c>
      <c r="X34" s="1">
        <f t="shared" si="15"/>
        <v>9.7662068965517268E-2</v>
      </c>
      <c r="Y34" s="1">
        <f t="shared" si="9"/>
        <v>0.36800689655172403</v>
      </c>
      <c r="Z34" s="1">
        <f t="shared" si="16"/>
        <v>0.31082855207081456</v>
      </c>
      <c r="AA34" s="1">
        <f t="shared" si="11"/>
        <v>0.18112116029374198</v>
      </c>
      <c r="AB34" s="1">
        <f t="shared" si="12"/>
        <v>0.3681700705203852</v>
      </c>
      <c r="AC34" s="1">
        <f t="shared" si="13"/>
        <v>0.6318299294796148</v>
      </c>
      <c r="AE34" s="15">
        <f t="shared" si="14"/>
        <v>2</v>
      </c>
      <c r="AF34" s="15">
        <f t="shared" si="18"/>
        <v>0</v>
      </c>
    </row>
    <row r="35" spans="1:32" ht="27.6" x14ac:dyDescent="0.3">
      <c r="A35" s="7">
        <v>202208</v>
      </c>
      <c r="B35" s="8">
        <v>44779</v>
      </c>
      <c r="C35" s="7">
        <v>69</v>
      </c>
      <c r="D35" s="7">
        <v>101</v>
      </c>
      <c r="E35" s="7">
        <v>49</v>
      </c>
      <c r="F35" s="7">
        <v>19</v>
      </c>
      <c r="G35" s="7">
        <v>87</v>
      </c>
      <c r="H35" s="7">
        <v>29</v>
      </c>
      <c r="I35" s="7">
        <v>101</v>
      </c>
      <c r="J35" s="7" t="s">
        <v>19</v>
      </c>
      <c r="K35" s="7" t="s">
        <v>22</v>
      </c>
      <c r="L35" s="7" t="s">
        <v>21</v>
      </c>
      <c r="N35" s="1">
        <f t="shared" si="1"/>
        <v>0.72413793103448276</v>
      </c>
      <c r="O35" s="10">
        <f t="shared" si="2"/>
        <v>0.55238095238095242</v>
      </c>
      <c r="P35" s="1">
        <f t="shared" si="3"/>
        <v>0.33333333333333331</v>
      </c>
      <c r="Q35" s="1">
        <f t="shared" si="4"/>
        <v>0.52631578947368418</v>
      </c>
      <c r="R35" s="1">
        <f t="shared" si="5"/>
        <v>0.42682926829268292</v>
      </c>
      <c r="S35" s="1">
        <f t="shared" si="6"/>
        <v>0.5</v>
      </c>
      <c r="T35" s="1">
        <f t="shared" si="7"/>
        <v>3.0629972745151357</v>
      </c>
      <c r="V35" s="1">
        <v>0.35</v>
      </c>
      <c r="W35" s="1">
        <f t="shared" si="17"/>
        <v>0.65</v>
      </c>
      <c r="X35" s="1">
        <f t="shared" si="15"/>
        <v>8.8706896551724132E-2</v>
      </c>
      <c r="Y35" s="1">
        <f t="shared" si="9"/>
        <v>0.30594827586206902</v>
      </c>
      <c r="Z35" s="1">
        <f t="shared" si="16"/>
        <v>0.11148371755289135</v>
      </c>
      <c r="AA35" s="1">
        <f t="shared" si="11"/>
        <v>4.7244085945182576E-2</v>
      </c>
      <c r="AB35" s="1">
        <f t="shared" si="12"/>
        <v>0.29764215785771808</v>
      </c>
      <c r="AC35" s="1">
        <f t="shared" si="13"/>
        <v>0.70235784214228192</v>
      </c>
      <c r="AE35" s="15">
        <f t="shared" si="14"/>
        <v>2</v>
      </c>
      <c r="AF35" s="15">
        <f t="shared" si="18"/>
        <v>0</v>
      </c>
    </row>
    <row r="36" spans="1:32" x14ac:dyDescent="0.3">
      <c r="A36" s="7">
        <v>202208</v>
      </c>
      <c r="B36" s="8">
        <v>44778</v>
      </c>
      <c r="C36" s="7">
        <v>60</v>
      </c>
      <c r="D36" s="7">
        <v>82</v>
      </c>
      <c r="E36" s="7">
        <v>47</v>
      </c>
      <c r="F36" s="7">
        <v>17</v>
      </c>
      <c r="G36" s="7">
        <v>79</v>
      </c>
      <c r="H36" s="7">
        <v>26</v>
      </c>
      <c r="I36" s="7">
        <v>82</v>
      </c>
      <c r="J36" s="7" t="s">
        <v>19</v>
      </c>
      <c r="K36" s="7" t="s">
        <v>20</v>
      </c>
      <c r="L36" s="7" t="s">
        <v>21</v>
      </c>
      <c r="N36" s="1">
        <f t="shared" si="1"/>
        <v>0.56896551724137934</v>
      </c>
      <c r="O36" s="10">
        <f t="shared" si="2"/>
        <v>0.37142857142857144</v>
      </c>
      <c r="P36" s="1">
        <f t="shared" si="3"/>
        <v>0.16666666666666666</v>
      </c>
      <c r="Q36" s="1">
        <f t="shared" si="4"/>
        <v>0.42105263157894735</v>
      </c>
      <c r="R36" s="1">
        <f t="shared" si="5"/>
        <v>0.37804878048780488</v>
      </c>
      <c r="S36" s="1">
        <f t="shared" si="6"/>
        <v>0.40625</v>
      </c>
      <c r="T36" s="1">
        <f t="shared" si="7"/>
        <v>2.3124121674033695</v>
      </c>
      <c r="V36" s="1">
        <v>0.26</v>
      </c>
      <c r="W36" s="1">
        <f t="shared" si="17"/>
        <v>0.74</v>
      </c>
      <c r="X36" s="1">
        <f t="shared" si="15"/>
        <v>3.8462068965517245E-2</v>
      </c>
      <c r="Y36" s="1">
        <f t="shared" si="9"/>
        <v>0.31156551724137932</v>
      </c>
      <c r="Z36" s="1">
        <f t="shared" ref="Z36" si="20">(N36-$N$102)^2+(O36-$O$102)^2+(P36-$P$102)^2+(Q36-$Q$102)^2+(R36-$R$102)^2+(S36-$S$102)^2</f>
        <v>0.15398869541708804</v>
      </c>
      <c r="AA36" s="1">
        <f t="shared" si="11"/>
        <v>0.10078856624519519</v>
      </c>
      <c r="AB36" s="1">
        <f t="shared" si="12"/>
        <v>0.39559482501540577</v>
      </c>
      <c r="AC36" s="1">
        <f t="shared" si="13"/>
        <v>0.60440517498459423</v>
      </c>
      <c r="AE36" s="15">
        <f t="shared" si="14"/>
        <v>2</v>
      </c>
      <c r="AF36" s="15">
        <f t="shared" si="18"/>
        <v>1</v>
      </c>
    </row>
    <row r="37" spans="1:32" x14ac:dyDescent="0.3">
      <c r="A37" s="7">
        <v>202208</v>
      </c>
      <c r="B37" s="8">
        <v>44777</v>
      </c>
      <c r="C37" s="7">
        <v>69</v>
      </c>
      <c r="D37" s="7">
        <v>99</v>
      </c>
      <c r="E37" s="7">
        <v>48</v>
      </c>
      <c r="F37" s="7">
        <v>15</v>
      </c>
      <c r="G37" s="7">
        <v>82</v>
      </c>
      <c r="H37" s="7">
        <v>20</v>
      </c>
      <c r="I37" s="7">
        <v>99</v>
      </c>
      <c r="J37" s="7" t="s">
        <v>19</v>
      </c>
      <c r="K37" s="7" t="s">
        <v>20</v>
      </c>
      <c r="L37" s="7" t="s">
        <v>21</v>
      </c>
      <c r="N37" s="1">
        <f t="shared" si="1"/>
        <v>0.72413793103448276</v>
      </c>
      <c r="O37" s="10">
        <f t="shared" si="2"/>
        <v>0.53333333333333333</v>
      </c>
      <c r="P37" s="1">
        <f t="shared" si="3"/>
        <v>0.25</v>
      </c>
      <c r="Q37" s="1">
        <f t="shared" si="4"/>
        <v>0.31578947368421051</v>
      </c>
      <c r="R37" s="1">
        <f t="shared" si="5"/>
        <v>0.39634146341463417</v>
      </c>
      <c r="S37" s="1">
        <f t="shared" si="6"/>
        <v>0.21875</v>
      </c>
      <c r="T37" s="1">
        <f t="shared" si="7"/>
        <v>2.4383522014666608</v>
      </c>
      <c r="V37" s="1">
        <v>0.37</v>
      </c>
      <c r="W37" s="1">
        <f t="shared" si="17"/>
        <v>0.63</v>
      </c>
      <c r="X37" s="1">
        <f t="shared" si="15"/>
        <v>9.913448275862069E-2</v>
      </c>
      <c r="Y37" s="1">
        <f t="shared" si="9"/>
        <v>0.28741034482758621</v>
      </c>
      <c r="Z37" s="1">
        <f t="shared" si="16"/>
        <v>0.24684945866910887</v>
      </c>
      <c r="AA37" s="1">
        <f t="shared" si="11"/>
        <v>0.11338822666855664</v>
      </c>
      <c r="AB37" s="1">
        <f t="shared" si="12"/>
        <v>0.31475948043101937</v>
      </c>
      <c r="AC37" s="1">
        <f t="shared" si="13"/>
        <v>0.68524051956898058</v>
      </c>
      <c r="AE37" s="15">
        <f t="shared" si="14"/>
        <v>2</v>
      </c>
      <c r="AF37" s="15">
        <f t="shared" si="18"/>
        <v>1</v>
      </c>
    </row>
    <row r="38" spans="1:32" ht="27.6" x14ac:dyDescent="0.3">
      <c r="A38" s="7">
        <v>202208</v>
      </c>
      <c r="B38" s="8">
        <v>44776</v>
      </c>
      <c r="C38" s="7">
        <v>82</v>
      </c>
      <c r="D38" s="7">
        <v>141</v>
      </c>
      <c r="E38" s="7">
        <v>51</v>
      </c>
      <c r="F38" s="7">
        <v>19</v>
      </c>
      <c r="G38" s="7">
        <v>129</v>
      </c>
      <c r="H38" s="7">
        <v>24</v>
      </c>
      <c r="I38" s="7">
        <v>141</v>
      </c>
      <c r="J38" s="7" t="s">
        <v>19</v>
      </c>
      <c r="K38" s="7" t="s">
        <v>22</v>
      </c>
      <c r="L38" s="7" t="s">
        <v>21</v>
      </c>
      <c r="N38" s="1">
        <f t="shared" si="1"/>
        <v>0.94827586206896552</v>
      </c>
      <c r="O38" s="10">
        <f t="shared" si="2"/>
        <v>0.93333333333333335</v>
      </c>
      <c r="P38" s="1">
        <f t="shared" si="3"/>
        <v>0.5</v>
      </c>
      <c r="Q38" s="1">
        <f t="shared" si="4"/>
        <v>0.52631578947368418</v>
      </c>
      <c r="R38" s="1">
        <f t="shared" si="5"/>
        <v>0.68292682926829273</v>
      </c>
      <c r="S38" s="1">
        <f t="shared" si="6"/>
        <v>0.34375</v>
      </c>
      <c r="T38" s="1">
        <f t="shared" si="7"/>
        <v>3.9346018141442758</v>
      </c>
      <c r="V38" s="1">
        <v>0.38</v>
      </c>
      <c r="W38" s="1">
        <f t="shared" si="17"/>
        <v>0.62</v>
      </c>
      <c r="X38" s="1">
        <f t="shared" si="15"/>
        <v>0.13693103448275862</v>
      </c>
      <c r="Y38" s="1">
        <f t="shared" si="9"/>
        <v>0.36451724137931035</v>
      </c>
      <c r="Z38" s="1">
        <f t="shared" si="16"/>
        <v>0.65803384899831474</v>
      </c>
      <c r="AA38" s="1">
        <f t="shared" si="11"/>
        <v>0.44963965171196807</v>
      </c>
      <c r="AB38" s="1">
        <f t="shared" si="12"/>
        <v>0.40593157769292293</v>
      </c>
      <c r="AC38" s="1">
        <f t="shared" si="13"/>
        <v>0.59406842230707713</v>
      </c>
      <c r="AE38" s="15">
        <f t="shared" si="14"/>
        <v>2</v>
      </c>
      <c r="AF38" s="15">
        <f t="shared" si="18"/>
        <v>0</v>
      </c>
    </row>
    <row r="39" spans="1:32" ht="27.6" x14ac:dyDescent="0.3">
      <c r="A39" s="7">
        <v>202208</v>
      </c>
      <c r="B39" s="8">
        <v>44775</v>
      </c>
      <c r="C39" s="7">
        <v>67</v>
      </c>
      <c r="D39" s="7">
        <v>113</v>
      </c>
      <c r="E39" s="7">
        <v>50</v>
      </c>
      <c r="F39" s="7">
        <v>15</v>
      </c>
      <c r="G39" s="7">
        <v>84</v>
      </c>
      <c r="H39" s="7">
        <v>28</v>
      </c>
      <c r="I39" s="7">
        <v>113</v>
      </c>
      <c r="J39" s="7" t="s">
        <v>19</v>
      </c>
      <c r="K39" s="7" t="s">
        <v>22</v>
      </c>
      <c r="L39" s="7" t="s">
        <v>21</v>
      </c>
      <c r="N39" s="1">
        <f t="shared" si="1"/>
        <v>0.68965517241379315</v>
      </c>
      <c r="O39" s="10">
        <f t="shared" si="2"/>
        <v>0.66666666666666663</v>
      </c>
      <c r="P39" s="1">
        <f t="shared" si="3"/>
        <v>0.41666666666666669</v>
      </c>
      <c r="Q39" s="1">
        <f t="shared" si="4"/>
        <v>0.31578947368421051</v>
      </c>
      <c r="R39" s="1">
        <f t="shared" si="5"/>
        <v>0.40853658536585363</v>
      </c>
      <c r="S39" s="1">
        <f t="shared" si="6"/>
        <v>0.46875</v>
      </c>
      <c r="T39" s="1">
        <f t="shared" si="7"/>
        <v>2.9660645647971906</v>
      </c>
      <c r="V39" s="1">
        <v>0.39</v>
      </c>
      <c r="W39" s="1">
        <f t="shared" si="17"/>
        <v>0.61</v>
      </c>
      <c r="X39" s="1">
        <f t="shared" si="15"/>
        <v>0.10489655172413795</v>
      </c>
      <c r="Y39" s="1">
        <f t="shared" si="9"/>
        <v>0.25662068965517243</v>
      </c>
      <c r="Z39" s="1">
        <f t="shared" si="16"/>
        <v>0.13633467056927631</v>
      </c>
      <c r="AA39" s="1">
        <f t="shared" si="11"/>
        <v>5.5055873222773111E-2</v>
      </c>
      <c r="AB39" s="1">
        <f t="shared" si="12"/>
        <v>0.28766245255352157</v>
      </c>
      <c r="AC39" s="1">
        <f t="shared" si="13"/>
        <v>0.71233754744647837</v>
      </c>
      <c r="AE39" s="15">
        <f t="shared" si="14"/>
        <v>2</v>
      </c>
      <c r="AF39" s="15">
        <f t="shared" si="18"/>
        <v>0</v>
      </c>
    </row>
    <row r="40" spans="1:32" ht="27.6" x14ac:dyDescent="0.3">
      <c r="A40" s="7">
        <v>202209</v>
      </c>
      <c r="B40" s="8">
        <v>44805</v>
      </c>
      <c r="C40" s="7">
        <v>83</v>
      </c>
      <c r="D40" s="7">
        <v>130</v>
      </c>
      <c r="E40" s="7">
        <v>51</v>
      </c>
      <c r="F40" s="7">
        <v>15</v>
      </c>
      <c r="G40" s="7">
        <v>42</v>
      </c>
      <c r="H40" s="7">
        <v>25</v>
      </c>
      <c r="I40" s="7">
        <v>130</v>
      </c>
      <c r="J40" s="7" t="s">
        <v>19</v>
      </c>
      <c r="K40" s="7" t="s">
        <v>22</v>
      </c>
      <c r="L40" s="7" t="s">
        <v>21</v>
      </c>
      <c r="N40" s="1">
        <f t="shared" si="1"/>
        <v>0.96551724137931039</v>
      </c>
      <c r="O40" s="10">
        <f t="shared" si="2"/>
        <v>0.82857142857142863</v>
      </c>
      <c r="P40" s="1">
        <f t="shared" si="3"/>
        <v>0.5</v>
      </c>
      <c r="Q40" s="1">
        <f t="shared" si="4"/>
        <v>0.31578947368421051</v>
      </c>
      <c r="R40" s="1">
        <f t="shared" si="5"/>
        <v>0.1524390243902439</v>
      </c>
      <c r="S40" s="1">
        <f t="shared" si="6"/>
        <v>0.375</v>
      </c>
      <c r="T40" s="1">
        <f t="shared" si="7"/>
        <v>3.1373171680251932</v>
      </c>
      <c r="V40" s="1">
        <v>0.4</v>
      </c>
      <c r="W40" s="1">
        <f t="shared" si="17"/>
        <v>0.6</v>
      </c>
      <c r="X40" s="1">
        <f t="shared" si="15"/>
        <v>0.15448275862068969</v>
      </c>
      <c r="Y40" s="1">
        <f t="shared" si="9"/>
        <v>0.34758620689655173</v>
      </c>
      <c r="Z40" s="1">
        <f t="shared" si="16"/>
        <v>0.34353741564192986</v>
      </c>
      <c r="AA40" s="1">
        <f t="shared" si="11"/>
        <v>0.2508221943502571</v>
      </c>
      <c r="AB40" s="1">
        <f t="shared" si="12"/>
        <v>0.42200410346449052</v>
      </c>
      <c r="AC40" s="1">
        <f t="shared" si="13"/>
        <v>0.57799589653550942</v>
      </c>
      <c r="AE40" s="15">
        <f t="shared" si="14"/>
        <v>2</v>
      </c>
      <c r="AF40" s="15">
        <f t="shared" si="18"/>
        <v>0</v>
      </c>
    </row>
    <row r="41" spans="1:32" ht="27.6" x14ac:dyDescent="0.3">
      <c r="A41" s="7">
        <v>202209</v>
      </c>
      <c r="B41" s="8">
        <v>44834</v>
      </c>
      <c r="C41" s="7">
        <v>71</v>
      </c>
      <c r="D41" s="7">
        <v>103</v>
      </c>
      <c r="E41" s="7">
        <v>51</v>
      </c>
      <c r="F41" s="7">
        <v>14</v>
      </c>
      <c r="G41" s="7">
        <v>45</v>
      </c>
      <c r="H41" s="7">
        <v>23</v>
      </c>
      <c r="I41" s="7">
        <v>103</v>
      </c>
      <c r="J41" s="7" t="s">
        <v>19</v>
      </c>
      <c r="K41" s="7" t="s">
        <v>22</v>
      </c>
      <c r="L41" s="7" t="s">
        <v>21</v>
      </c>
      <c r="N41" s="1">
        <f t="shared" si="1"/>
        <v>0.75862068965517238</v>
      </c>
      <c r="O41" s="10">
        <f t="shared" si="2"/>
        <v>0.5714285714285714</v>
      </c>
      <c r="P41" s="1">
        <f t="shared" si="3"/>
        <v>0.5</v>
      </c>
      <c r="Q41" s="1">
        <f t="shared" si="4"/>
        <v>0.26315789473684209</v>
      </c>
      <c r="R41" s="1">
        <f t="shared" si="5"/>
        <v>0.17073170731707318</v>
      </c>
      <c r="S41" s="1">
        <f t="shared" si="6"/>
        <v>0.3125</v>
      </c>
      <c r="T41" s="1">
        <f t="shared" si="7"/>
        <v>2.5764388631376591</v>
      </c>
      <c r="V41" s="1">
        <v>0.41</v>
      </c>
      <c r="W41" s="1">
        <f t="shared" si="17"/>
        <v>0.59000000000000008</v>
      </c>
      <c r="X41" s="1">
        <f t="shared" si="15"/>
        <v>0.12752413793103445</v>
      </c>
      <c r="Y41" s="1">
        <f t="shared" si="9"/>
        <v>0.26407586206896555</v>
      </c>
      <c r="Z41" s="1">
        <f t="shared" si="16"/>
        <v>0.14242539478239291</v>
      </c>
      <c r="AA41" s="1">
        <f t="shared" si="11"/>
        <v>8.371592033684172E-2</v>
      </c>
      <c r="AB41" s="1">
        <f t="shared" si="12"/>
        <v>0.37019294900934796</v>
      </c>
      <c r="AC41" s="1">
        <f t="shared" si="13"/>
        <v>0.62980705099065204</v>
      </c>
      <c r="AE41" s="15">
        <f t="shared" si="14"/>
        <v>2</v>
      </c>
      <c r="AF41" s="15">
        <f t="shared" ref="AF41:AF72" si="21">(VALUE(IF(OR(AND(AE41=2, K41="SEDANG"), AND(AE41=1, K41="TIDAK SEHAT")), 1, 0)))*1</f>
        <v>0</v>
      </c>
    </row>
    <row r="42" spans="1:32" x14ac:dyDescent="0.3">
      <c r="A42" s="7">
        <v>202209</v>
      </c>
      <c r="B42" s="8">
        <v>44833</v>
      </c>
      <c r="C42" s="7">
        <v>62</v>
      </c>
      <c r="D42" s="7">
        <v>100</v>
      </c>
      <c r="E42" s="7">
        <v>51</v>
      </c>
      <c r="F42" s="7">
        <v>14</v>
      </c>
      <c r="G42" s="7">
        <v>50</v>
      </c>
      <c r="H42" s="7">
        <v>21</v>
      </c>
      <c r="I42" s="7">
        <v>100</v>
      </c>
      <c r="J42" s="7" t="s">
        <v>19</v>
      </c>
      <c r="K42" s="7" t="s">
        <v>20</v>
      </c>
      <c r="L42" s="7" t="s">
        <v>21</v>
      </c>
      <c r="N42" s="1">
        <f t="shared" si="1"/>
        <v>0.60344827586206895</v>
      </c>
      <c r="O42" s="10">
        <f t="shared" si="2"/>
        <v>0.54285714285714282</v>
      </c>
      <c r="P42" s="1">
        <f t="shared" si="3"/>
        <v>0.5</v>
      </c>
      <c r="Q42" s="1">
        <f t="shared" si="4"/>
        <v>0.26315789473684209</v>
      </c>
      <c r="R42" s="1">
        <f t="shared" si="5"/>
        <v>0.20121951219512196</v>
      </c>
      <c r="S42" s="1">
        <f t="shared" si="6"/>
        <v>0.25</v>
      </c>
      <c r="T42" s="1">
        <f t="shared" si="7"/>
        <v>2.3606828256511756</v>
      </c>
      <c r="V42" s="1">
        <v>0.42</v>
      </c>
      <c r="W42" s="1">
        <f t="shared" si="17"/>
        <v>0.58000000000000007</v>
      </c>
      <c r="X42" s="1">
        <f t="shared" si="15"/>
        <v>0.10644827586206895</v>
      </c>
      <c r="Y42" s="1">
        <f t="shared" si="9"/>
        <v>0.20300000000000004</v>
      </c>
      <c r="Z42" s="1">
        <f t="shared" si="16"/>
        <v>0.13837388300527234</v>
      </c>
      <c r="AA42" s="1">
        <f t="shared" si="11"/>
        <v>8.2565454376592906E-2</v>
      </c>
      <c r="AB42" s="1">
        <f t="shared" si="12"/>
        <v>0.37370191906518274</v>
      </c>
      <c r="AC42" s="1">
        <f t="shared" si="13"/>
        <v>0.62629808093481731</v>
      </c>
      <c r="AE42" s="15">
        <f t="shared" si="14"/>
        <v>2</v>
      </c>
      <c r="AF42" s="15">
        <f t="shared" si="21"/>
        <v>1</v>
      </c>
    </row>
    <row r="43" spans="1:32" x14ac:dyDescent="0.3">
      <c r="A43" s="7">
        <v>202209</v>
      </c>
      <c r="B43" s="8">
        <v>44832</v>
      </c>
      <c r="C43" s="7">
        <v>62</v>
      </c>
      <c r="D43" s="7">
        <v>92</v>
      </c>
      <c r="E43" s="7">
        <v>51</v>
      </c>
      <c r="F43" s="7">
        <v>13</v>
      </c>
      <c r="G43" s="7">
        <v>55</v>
      </c>
      <c r="H43" s="7">
        <v>24</v>
      </c>
      <c r="I43" s="7">
        <v>92</v>
      </c>
      <c r="J43" s="7" t="s">
        <v>19</v>
      </c>
      <c r="K43" s="7" t="s">
        <v>20</v>
      </c>
      <c r="L43" s="7" t="s">
        <v>21</v>
      </c>
      <c r="N43" s="1">
        <f t="shared" si="1"/>
        <v>0.60344827586206895</v>
      </c>
      <c r="O43" s="10">
        <f t="shared" si="2"/>
        <v>0.46666666666666667</v>
      </c>
      <c r="P43" s="1">
        <f t="shared" si="3"/>
        <v>0.5</v>
      </c>
      <c r="Q43" s="1">
        <f t="shared" si="4"/>
        <v>0.21052631578947367</v>
      </c>
      <c r="R43" s="1">
        <f t="shared" si="5"/>
        <v>0.23170731707317074</v>
      </c>
      <c r="S43" s="1">
        <f t="shared" si="6"/>
        <v>0.34375</v>
      </c>
      <c r="T43" s="1">
        <f t="shared" si="7"/>
        <v>2.3560985753913801</v>
      </c>
      <c r="V43" s="1">
        <v>0.43</v>
      </c>
      <c r="W43" s="1">
        <f t="shared" si="17"/>
        <v>0.57000000000000006</v>
      </c>
      <c r="X43" s="1">
        <f t="shared" si="15"/>
        <v>0.11157758620689653</v>
      </c>
      <c r="Y43" s="1">
        <f t="shared" si="9"/>
        <v>0.19606034482758625</v>
      </c>
      <c r="Z43" s="1">
        <f t="shared" si="16"/>
        <v>0.10876666090582932</v>
      </c>
      <c r="AA43" s="1">
        <f t="shared" si="11"/>
        <v>7.1506061506732083E-2</v>
      </c>
      <c r="AB43" s="1">
        <f t="shared" si="12"/>
        <v>0.39665491567319638</v>
      </c>
      <c r="AC43" s="1">
        <f t="shared" si="13"/>
        <v>0.60334508432680356</v>
      </c>
      <c r="AE43" s="15">
        <f t="shared" si="14"/>
        <v>2</v>
      </c>
      <c r="AF43" s="15">
        <f t="shared" si="21"/>
        <v>1</v>
      </c>
    </row>
    <row r="44" spans="1:32" x14ac:dyDescent="0.3">
      <c r="A44" s="7">
        <v>202209</v>
      </c>
      <c r="B44" s="8">
        <v>44831</v>
      </c>
      <c r="C44" s="7">
        <v>63</v>
      </c>
      <c r="D44" s="7">
        <v>86</v>
      </c>
      <c r="E44" s="7">
        <v>51</v>
      </c>
      <c r="F44" s="7">
        <v>14</v>
      </c>
      <c r="G44" s="7">
        <v>58</v>
      </c>
      <c r="H44" s="7">
        <v>26</v>
      </c>
      <c r="I44" s="7">
        <v>86</v>
      </c>
      <c r="J44" s="7" t="s">
        <v>19</v>
      </c>
      <c r="K44" s="7" t="s">
        <v>20</v>
      </c>
      <c r="L44" s="7" t="s">
        <v>21</v>
      </c>
      <c r="N44" s="1">
        <f t="shared" si="1"/>
        <v>0.62068965517241381</v>
      </c>
      <c r="O44" s="10">
        <f t="shared" si="2"/>
        <v>0.40952380952380951</v>
      </c>
      <c r="P44" s="1">
        <f t="shared" si="3"/>
        <v>0.5</v>
      </c>
      <c r="Q44" s="1">
        <f t="shared" si="4"/>
        <v>0.26315789473684209</v>
      </c>
      <c r="R44" s="1">
        <f t="shared" si="5"/>
        <v>0.25</v>
      </c>
      <c r="S44" s="1">
        <f t="shared" si="6"/>
        <v>0.40625</v>
      </c>
      <c r="T44" s="1">
        <f t="shared" si="7"/>
        <v>2.4496213594330651</v>
      </c>
      <c r="V44" s="1">
        <v>0.44</v>
      </c>
      <c r="W44" s="1">
        <f t="shared" si="17"/>
        <v>0.56000000000000005</v>
      </c>
      <c r="X44" s="1">
        <f t="shared" si="15"/>
        <v>0.1201655172413793</v>
      </c>
      <c r="Y44" s="1">
        <f t="shared" si="9"/>
        <v>0.19464827586206901</v>
      </c>
      <c r="Z44" s="1">
        <f t="shared" si="16"/>
        <v>6.8107329498781316E-2</v>
      </c>
      <c r="AA44" s="1">
        <f t="shared" si="11"/>
        <v>4.7348132642844203E-2</v>
      </c>
      <c r="AB44" s="1">
        <f t="shared" si="12"/>
        <v>0.41009868017126605</v>
      </c>
      <c r="AC44" s="1">
        <f t="shared" si="13"/>
        <v>0.58990131982873395</v>
      </c>
      <c r="AE44" s="15">
        <f t="shared" si="14"/>
        <v>2</v>
      </c>
      <c r="AF44" s="15">
        <f t="shared" si="21"/>
        <v>1</v>
      </c>
    </row>
    <row r="45" spans="1:32" x14ac:dyDescent="0.3">
      <c r="A45" s="7">
        <v>202209</v>
      </c>
      <c r="B45" s="8">
        <v>44830</v>
      </c>
      <c r="C45" s="7">
        <v>57</v>
      </c>
      <c r="D45" s="7">
        <v>79</v>
      </c>
      <c r="E45" s="7">
        <v>51</v>
      </c>
      <c r="F45" s="7">
        <v>14</v>
      </c>
      <c r="G45" s="7">
        <v>56</v>
      </c>
      <c r="H45" s="7">
        <v>26</v>
      </c>
      <c r="I45" s="7">
        <v>79</v>
      </c>
      <c r="J45" s="7" t="s">
        <v>19</v>
      </c>
      <c r="K45" s="7" t="s">
        <v>20</v>
      </c>
      <c r="L45" s="7" t="s">
        <v>24</v>
      </c>
      <c r="N45" s="1">
        <f t="shared" si="1"/>
        <v>0.51724137931034486</v>
      </c>
      <c r="O45" s="10">
        <f t="shared" si="2"/>
        <v>0.34285714285714286</v>
      </c>
      <c r="P45" s="1">
        <f t="shared" si="3"/>
        <v>0.5</v>
      </c>
      <c r="Q45" s="1">
        <f t="shared" si="4"/>
        <v>0.26315789473684209</v>
      </c>
      <c r="R45" s="1">
        <f t="shared" si="5"/>
        <v>0.23780487804878048</v>
      </c>
      <c r="S45" s="1">
        <f t="shared" si="6"/>
        <v>0.40625</v>
      </c>
      <c r="T45" s="1">
        <f t="shared" si="7"/>
        <v>2.2673112949531102</v>
      </c>
      <c r="V45" s="1">
        <v>0.45</v>
      </c>
      <c r="W45" s="1">
        <f t="shared" si="17"/>
        <v>0.55000000000000004</v>
      </c>
      <c r="X45" s="1">
        <f t="shared" si="15"/>
        <v>0.10474137931034484</v>
      </c>
      <c r="Y45" s="1">
        <f t="shared" si="9"/>
        <v>0.15646551724137933</v>
      </c>
      <c r="Z45" s="1">
        <f t="shared" si="16"/>
        <v>7.9284706101827973E-2</v>
      </c>
      <c r="AA45" s="1">
        <f t="shared" si="11"/>
        <v>8.1327584141719617E-2</v>
      </c>
      <c r="AB45" s="1">
        <f t="shared" si="12"/>
        <v>0.50635965665141158</v>
      </c>
      <c r="AC45" s="1">
        <f t="shared" si="13"/>
        <v>0.49364034334858842</v>
      </c>
      <c r="AE45" s="15">
        <f t="shared" si="14"/>
        <v>1</v>
      </c>
      <c r="AF45" s="15">
        <f t="shared" si="21"/>
        <v>0</v>
      </c>
    </row>
    <row r="46" spans="1:32" x14ac:dyDescent="0.3">
      <c r="A46" s="7">
        <v>202209</v>
      </c>
      <c r="B46" s="8">
        <v>44829</v>
      </c>
      <c r="C46" s="7">
        <v>58</v>
      </c>
      <c r="D46" s="7">
        <v>94</v>
      </c>
      <c r="E46" s="7">
        <v>50</v>
      </c>
      <c r="F46" s="7">
        <v>14</v>
      </c>
      <c r="G46" s="7">
        <v>48</v>
      </c>
      <c r="H46" s="7">
        <v>25</v>
      </c>
      <c r="I46" s="7">
        <v>94</v>
      </c>
      <c r="J46" s="7" t="s">
        <v>19</v>
      </c>
      <c r="K46" s="7" t="s">
        <v>20</v>
      </c>
      <c r="L46" s="7" t="s">
        <v>21</v>
      </c>
      <c r="N46" s="1">
        <f t="shared" si="1"/>
        <v>0.53448275862068961</v>
      </c>
      <c r="O46" s="10">
        <f t="shared" si="2"/>
        <v>0.48571428571428571</v>
      </c>
      <c r="P46" s="1">
        <f t="shared" si="3"/>
        <v>0.41666666666666669</v>
      </c>
      <c r="Q46" s="1">
        <f t="shared" si="4"/>
        <v>0.26315789473684209</v>
      </c>
      <c r="R46" s="1">
        <f t="shared" si="5"/>
        <v>0.18902439024390244</v>
      </c>
      <c r="S46" s="1">
        <f t="shared" si="6"/>
        <v>0.375</v>
      </c>
      <c r="T46" s="1">
        <f t="shared" si="7"/>
        <v>2.2640459959823866</v>
      </c>
      <c r="V46" s="1">
        <v>0.46</v>
      </c>
      <c r="W46" s="1">
        <f t="shared" si="17"/>
        <v>0.54</v>
      </c>
      <c r="X46" s="1">
        <f t="shared" si="15"/>
        <v>0.11309655172413793</v>
      </c>
      <c r="Y46" s="1">
        <f t="shared" si="9"/>
        <v>0.1558551724137931</v>
      </c>
      <c r="Z46" s="1">
        <f t="shared" si="16"/>
        <v>7.511510898019115E-2</v>
      </c>
      <c r="AA46" s="1">
        <f t="shared" si="11"/>
        <v>5.6693315012279838E-2</v>
      </c>
      <c r="AB46" s="1">
        <f t="shared" si="12"/>
        <v>0.4301190568481284</v>
      </c>
      <c r="AC46" s="1">
        <f t="shared" si="13"/>
        <v>0.56988094315187166</v>
      </c>
      <c r="AE46" s="15">
        <f t="shared" si="14"/>
        <v>2</v>
      </c>
      <c r="AF46" s="15">
        <f t="shared" si="21"/>
        <v>1</v>
      </c>
    </row>
    <row r="47" spans="1:32" x14ac:dyDescent="0.3">
      <c r="A47" s="7">
        <v>202209</v>
      </c>
      <c r="B47" s="8">
        <v>44828</v>
      </c>
      <c r="C47" s="7">
        <v>57</v>
      </c>
      <c r="D47" s="7">
        <v>83</v>
      </c>
      <c r="E47" s="7">
        <v>50</v>
      </c>
      <c r="F47" s="7">
        <v>17</v>
      </c>
      <c r="G47" s="7">
        <v>39</v>
      </c>
      <c r="H47" s="7">
        <v>33</v>
      </c>
      <c r="I47" s="7">
        <v>83</v>
      </c>
      <c r="J47" s="7" t="s">
        <v>19</v>
      </c>
      <c r="K47" s="7" t="s">
        <v>20</v>
      </c>
      <c r="L47" s="7" t="s">
        <v>21</v>
      </c>
      <c r="N47" s="1">
        <f t="shared" si="1"/>
        <v>0.51724137931034486</v>
      </c>
      <c r="O47" s="10">
        <f t="shared" si="2"/>
        <v>0.38095238095238093</v>
      </c>
      <c r="P47" s="1">
        <f t="shared" si="3"/>
        <v>0.41666666666666669</v>
      </c>
      <c r="Q47" s="1">
        <f t="shared" si="4"/>
        <v>0.42105263157894735</v>
      </c>
      <c r="R47" s="1">
        <f t="shared" si="5"/>
        <v>0.13414634146341464</v>
      </c>
      <c r="S47" s="1">
        <f t="shared" si="6"/>
        <v>0.625</v>
      </c>
      <c r="T47" s="1">
        <f t="shared" si="7"/>
        <v>2.4950593999717543</v>
      </c>
      <c r="V47" s="1">
        <v>0.47</v>
      </c>
      <c r="W47" s="1">
        <f t="shared" si="17"/>
        <v>0.53</v>
      </c>
      <c r="X47" s="1">
        <f t="shared" si="15"/>
        <v>0.11425862068965517</v>
      </c>
      <c r="Y47" s="1">
        <f t="shared" si="9"/>
        <v>0.1452931034482759</v>
      </c>
      <c r="Z47" s="1">
        <f t="shared" si="16"/>
        <v>2.209730611242855E-2</v>
      </c>
      <c r="AA47" s="1">
        <f t="shared" si="11"/>
        <v>9.0740568118296255E-2</v>
      </c>
      <c r="AB47" s="1">
        <f t="shared" si="12"/>
        <v>0.80416764970912891</v>
      </c>
      <c r="AC47" s="1">
        <f t="shared" si="13"/>
        <v>0.19583235029087109</v>
      </c>
      <c r="AE47" s="15">
        <f t="shared" si="14"/>
        <v>1</v>
      </c>
      <c r="AF47" s="15">
        <f t="shared" si="21"/>
        <v>0</v>
      </c>
    </row>
    <row r="48" spans="1:32" x14ac:dyDescent="0.3">
      <c r="A48" s="7">
        <v>202209</v>
      </c>
      <c r="B48" s="8">
        <v>44827</v>
      </c>
      <c r="C48" s="7">
        <v>73</v>
      </c>
      <c r="D48" s="7">
        <v>97</v>
      </c>
      <c r="E48" s="7">
        <v>50</v>
      </c>
      <c r="F48" s="7">
        <v>24</v>
      </c>
      <c r="G48" s="7">
        <v>50</v>
      </c>
      <c r="H48" s="7">
        <v>45</v>
      </c>
      <c r="I48" s="7">
        <v>97</v>
      </c>
      <c r="J48" s="7" t="s">
        <v>19</v>
      </c>
      <c r="K48" s="7" t="s">
        <v>20</v>
      </c>
      <c r="L48" s="7" t="s">
        <v>23</v>
      </c>
      <c r="N48" s="1">
        <f t="shared" si="1"/>
        <v>0.7931034482758621</v>
      </c>
      <c r="O48" s="10">
        <f t="shared" si="2"/>
        <v>0.51428571428571423</v>
      </c>
      <c r="P48" s="1">
        <f t="shared" si="3"/>
        <v>0.41666666666666669</v>
      </c>
      <c r="Q48" s="1">
        <f t="shared" si="4"/>
        <v>0.78947368421052633</v>
      </c>
      <c r="R48" s="1">
        <f t="shared" si="5"/>
        <v>0.20121951219512196</v>
      </c>
      <c r="S48" s="1">
        <f t="shared" si="6"/>
        <v>1</v>
      </c>
      <c r="T48" s="1">
        <f t="shared" si="7"/>
        <v>3.7147490256338913</v>
      </c>
      <c r="V48" s="1">
        <v>0.48</v>
      </c>
      <c r="W48" s="1">
        <f t="shared" si="17"/>
        <v>0.52</v>
      </c>
      <c r="X48" s="1">
        <f t="shared" si="15"/>
        <v>0.18273103448275863</v>
      </c>
      <c r="Y48" s="1">
        <f t="shared" si="9"/>
        <v>0.21445517241379314</v>
      </c>
      <c r="Z48" s="1">
        <f t="shared" si="16"/>
        <v>0.3631858031913715</v>
      </c>
      <c r="AA48" s="1">
        <f t="shared" si="11"/>
        <v>0.46902240334919065</v>
      </c>
      <c r="AB48" s="1">
        <f t="shared" si="12"/>
        <v>0.56358781331764041</v>
      </c>
      <c r="AC48" s="1">
        <f t="shared" si="13"/>
        <v>0.43641218668235959</v>
      </c>
      <c r="AE48" s="15">
        <f t="shared" si="14"/>
        <v>1</v>
      </c>
      <c r="AF48" s="15">
        <f t="shared" si="21"/>
        <v>0</v>
      </c>
    </row>
    <row r="49" spans="1:32" x14ac:dyDescent="0.3">
      <c r="A49" s="7">
        <v>202209</v>
      </c>
      <c r="B49" s="8">
        <v>44826</v>
      </c>
      <c r="C49" s="7">
        <v>63</v>
      </c>
      <c r="D49" s="7">
        <v>90</v>
      </c>
      <c r="E49" s="7">
        <v>50</v>
      </c>
      <c r="F49" s="7">
        <v>16</v>
      </c>
      <c r="G49" s="7">
        <v>37</v>
      </c>
      <c r="H49" s="7">
        <v>24</v>
      </c>
      <c r="I49" s="7">
        <v>90</v>
      </c>
      <c r="J49" s="7" t="s">
        <v>19</v>
      </c>
      <c r="K49" s="7" t="s">
        <v>20</v>
      </c>
      <c r="L49" s="7" t="s">
        <v>24</v>
      </c>
      <c r="N49" s="1">
        <f t="shared" si="1"/>
        <v>0.62068965517241381</v>
      </c>
      <c r="O49" s="10">
        <f t="shared" si="2"/>
        <v>0.44761904761904764</v>
      </c>
      <c r="P49" s="1">
        <f t="shared" si="3"/>
        <v>0.41666666666666669</v>
      </c>
      <c r="Q49" s="1">
        <f t="shared" si="4"/>
        <v>0.36842105263157893</v>
      </c>
      <c r="R49" s="1">
        <f t="shared" si="5"/>
        <v>0.12195121951219512</v>
      </c>
      <c r="S49" s="1">
        <f t="shared" si="6"/>
        <v>0.34375</v>
      </c>
      <c r="T49" s="1">
        <f t="shared" si="7"/>
        <v>2.3190976416019025</v>
      </c>
      <c r="V49" s="1">
        <v>0.49</v>
      </c>
      <c r="W49" s="1">
        <f t="shared" si="17"/>
        <v>0.51</v>
      </c>
      <c r="X49" s="1">
        <f t="shared" si="15"/>
        <v>0.14902758620689655</v>
      </c>
      <c r="Y49" s="1">
        <f t="shared" si="9"/>
        <v>0.16144137931034483</v>
      </c>
      <c r="Z49" s="1">
        <f t="shared" si="16"/>
        <v>5.8986256866897027E-2</v>
      </c>
      <c r="AA49" s="1">
        <f t="shared" si="11"/>
        <v>4.7821272750802127E-2</v>
      </c>
      <c r="AB49" s="1">
        <f t="shared" si="12"/>
        <v>0.44773316003067282</v>
      </c>
      <c r="AC49" s="1">
        <f t="shared" si="13"/>
        <v>0.55226683996932713</v>
      </c>
      <c r="AE49" s="15">
        <f t="shared" si="14"/>
        <v>2</v>
      </c>
      <c r="AF49" s="15">
        <f t="shared" si="21"/>
        <v>1</v>
      </c>
    </row>
    <row r="50" spans="1:32" ht="27.6" x14ac:dyDescent="0.3">
      <c r="A50" s="7">
        <v>202209</v>
      </c>
      <c r="B50" s="8">
        <v>44825</v>
      </c>
      <c r="C50" s="7">
        <v>69</v>
      </c>
      <c r="D50" s="7">
        <v>112</v>
      </c>
      <c r="E50" s="7">
        <v>50</v>
      </c>
      <c r="F50" s="7">
        <v>17</v>
      </c>
      <c r="G50" s="7">
        <v>42</v>
      </c>
      <c r="H50" s="7">
        <v>32</v>
      </c>
      <c r="I50" s="7">
        <v>112</v>
      </c>
      <c r="J50" s="7" t="s">
        <v>19</v>
      </c>
      <c r="K50" s="7" t="s">
        <v>22</v>
      </c>
      <c r="L50" s="7" t="s">
        <v>21</v>
      </c>
      <c r="N50" s="1">
        <f t="shared" si="1"/>
        <v>0.72413793103448276</v>
      </c>
      <c r="O50" s="10">
        <f t="shared" si="2"/>
        <v>0.65714285714285714</v>
      </c>
      <c r="P50" s="1">
        <f t="shared" si="3"/>
        <v>0.41666666666666669</v>
      </c>
      <c r="Q50" s="1">
        <f t="shared" si="4"/>
        <v>0.42105263157894735</v>
      </c>
      <c r="R50" s="1">
        <f t="shared" si="5"/>
        <v>0.1524390243902439</v>
      </c>
      <c r="S50" s="1">
        <f t="shared" si="6"/>
        <v>0.59375</v>
      </c>
      <c r="T50" s="1">
        <f t="shared" si="7"/>
        <v>2.9651891108131978</v>
      </c>
      <c r="V50" s="1">
        <v>0.5</v>
      </c>
      <c r="W50" s="1">
        <f t="shared" si="17"/>
        <v>0.5</v>
      </c>
      <c r="X50" s="1">
        <f t="shared" si="15"/>
        <v>0.18103448275862069</v>
      </c>
      <c r="Y50" s="1">
        <f t="shared" si="9"/>
        <v>0.18103448275862069</v>
      </c>
      <c r="Z50" s="1">
        <f t="shared" si="16"/>
        <v>7.0026198777747795E-2</v>
      </c>
      <c r="AA50" s="1">
        <f t="shared" si="11"/>
        <v>7.2053323528985427E-2</v>
      </c>
      <c r="AB50" s="1">
        <f t="shared" si="12"/>
        <v>0.50713376818251577</v>
      </c>
      <c r="AC50" s="1">
        <f t="shared" si="13"/>
        <v>0.49286623181748423</v>
      </c>
      <c r="AE50" s="15">
        <f t="shared" si="14"/>
        <v>1</v>
      </c>
      <c r="AF50" s="15">
        <f t="shared" si="21"/>
        <v>1</v>
      </c>
    </row>
    <row r="51" spans="1:32" ht="27.6" x14ac:dyDescent="0.3">
      <c r="A51" s="7">
        <v>202209</v>
      </c>
      <c r="B51" s="8">
        <v>44824</v>
      </c>
      <c r="C51" s="7">
        <v>66</v>
      </c>
      <c r="D51" s="7">
        <v>110</v>
      </c>
      <c r="E51" s="7">
        <v>51</v>
      </c>
      <c r="F51" s="7">
        <v>21</v>
      </c>
      <c r="G51" s="7">
        <v>37</v>
      </c>
      <c r="H51" s="7">
        <v>41</v>
      </c>
      <c r="I51" s="7">
        <v>110</v>
      </c>
      <c r="J51" s="7" t="s">
        <v>19</v>
      </c>
      <c r="K51" s="7" t="s">
        <v>22</v>
      </c>
      <c r="L51" s="7" t="s">
        <v>21</v>
      </c>
      <c r="N51" s="1">
        <f t="shared" si="1"/>
        <v>0.67241379310344829</v>
      </c>
      <c r="O51" s="10">
        <f t="shared" si="2"/>
        <v>0.63809523809523805</v>
      </c>
      <c r="P51" s="1">
        <f t="shared" si="3"/>
        <v>0.5</v>
      </c>
      <c r="Q51" s="1">
        <f t="shared" si="4"/>
        <v>0.63157894736842102</v>
      </c>
      <c r="R51" s="1">
        <f t="shared" si="5"/>
        <v>0.12195121951219512</v>
      </c>
      <c r="S51" s="1">
        <f t="shared" si="6"/>
        <v>0.875</v>
      </c>
      <c r="T51" s="1">
        <f t="shared" si="7"/>
        <v>3.4390391980793025</v>
      </c>
      <c r="V51" s="1">
        <v>0.51</v>
      </c>
      <c r="W51" s="1">
        <f t="shared" si="17"/>
        <v>0.49</v>
      </c>
      <c r="X51" s="1">
        <f t="shared" si="15"/>
        <v>0.17489482758620689</v>
      </c>
      <c r="Y51" s="1">
        <f t="shared" si="9"/>
        <v>0.16144655172413791</v>
      </c>
      <c r="Z51" s="1">
        <f t="shared" si="16"/>
        <v>0.18414095293683597</v>
      </c>
      <c r="AA51" s="1">
        <f t="shared" si="11"/>
        <v>0.27891101605765189</v>
      </c>
      <c r="AB51" s="1">
        <f t="shared" si="12"/>
        <v>0.60233199453466102</v>
      </c>
      <c r="AC51" s="1">
        <f t="shared" si="13"/>
        <v>0.39766800546533898</v>
      </c>
      <c r="AE51" s="15">
        <f t="shared" si="14"/>
        <v>1</v>
      </c>
      <c r="AF51" s="15">
        <f t="shared" si="21"/>
        <v>1</v>
      </c>
    </row>
    <row r="52" spans="1:32" ht="27.6" x14ac:dyDescent="0.3">
      <c r="A52" s="7">
        <v>202209</v>
      </c>
      <c r="B52" s="8">
        <v>44823</v>
      </c>
      <c r="C52" s="7">
        <v>70</v>
      </c>
      <c r="D52" s="7">
        <v>113</v>
      </c>
      <c r="E52" s="7">
        <v>51</v>
      </c>
      <c r="F52" s="7">
        <v>17</v>
      </c>
      <c r="G52" s="7">
        <v>46</v>
      </c>
      <c r="H52" s="7">
        <v>28</v>
      </c>
      <c r="I52" s="7">
        <v>113</v>
      </c>
      <c r="J52" s="7" t="s">
        <v>19</v>
      </c>
      <c r="K52" s="7" t="s">
        <v>22</v>
      </c>
      <c r="L52" s="7" t="s">
        <v>21</v>
      </c>
      <c r="N52" s="1">
        <f t="shared" si="1"/>
        <v>0.74137931034482762</v>
      </c>
      <c r="O52" s="10">
        <f t="shared" si="2"/>
        <v>0.66666666666666663</v>
      </c>
      <c r="P52" s="1">
        <f t="shared" si="3"/>
        <v>0.5</v>
      </c>
      <c r="Q52" s="1">
        <f t="shared" si="4"/>
        <v>0.42105263157894735</v>
      </c>
      <c r="R52" s="1">
        <f t="shared" si="5"/>
        <v>0.17682926829268292</v>
      </c>
      <c r="S52" s="1">
        <f t="shared" si="6"/>
        <v>0.46875</v>
      </c>
      <c r="T52" s="1">
        <f t="shared" si="7"/>
        <v>2.9746778768831246</v>
      </c>
      <c r="V52" s="1">
        <v>0.52</v>
      </c>
      <c r="W52" s="1">
        <f t="shared" si="17"/>
        <v>0.48</v>
      </c>
      <c r="X52" s="1">
        <f t="shared" si="15"/>
        <v>0.20046896551724142</v>
      </c>
      <c r="Y52" s="1">
        <f t="shared" si="9"/>
        <v>0.17081379310344827</v>
      </c>
      <c r="Z52" s="1">
        <f t="shared" si="16"/>
        <v>8.1030181444604901E-2</v>
      </c>
      <c r="AA52" s="1">
        <f t="shared" si="11"/>
        <v>5.4780204637075683E-2</v>
      </c>
      <c r="AB52" s="1">
        <f t="shared" si="12"/>
        <v>0.40335799210620876</v>
      </c>
      <c r="AC52" s="1">
        <f t="shared" si="13"/>
        <v>0.59664200789379129</v>
      </c>
      <c r="AE52" s="15">
        <f t="shared" si="14"/>
        <v>2</v>
      </c>
      <c r="AF52" s="15">
        <f t="shared" si="21"/>
        <v>0</v>
      </c>
    </row>
    <row r="53" spans="1:32" ht="27.6" x14ac:dyDescent="0.3">
      <c r="A53" s="7">
        <v>202209</v>
      </c>
      <c r="B53" s="8">
        <v>44822</v>
      </c>
      <c r="C53" s="7">
        <v>72</v>
      </c>
      <c r="D53" s="7">
        <v>113</v>
      </c>
      <c r="E53" s="7">
        <v>51</v>
      </c>
      <c r="F53" s="7">
        <v>21</v>
      </c>
      <c r="G53" s="7">
        <v>43</v>
      </c>
      <c r="H53" s="7">
        <v>33</v>
      </c>
      <c r="I53" s="7">
        <v>113</v>
      </c>
      <c r="J53" s="7" t="s">
        <v>19</v>
      </c>
      <c r="K53" s="7" t="s">
        <v>22</v>
      </c>
      <c r="L53" s="7" t="s">
        <v>21</v>
      </c>
      <c r="N53" s="1">
        <f t="shared" si="1"/>
        <v>0.77586206896551724</v>
      </c>
      <c r="O53" s="10">
        <f t="shared" si="2"/>
        <v>0.66666666666666663</v>
      </c>
      <c r="P53" s="1">
        <f t="shared" si="3"/>
        <v>0.5</v>
      </c>
      <c r="Q53" s="1">
        <f t="shared" si="4"/>
        <v>0.63157894736842102</v>
      </c>
      <c r="R53" s="1">
        <f t="shared" si="5"/>
        <v>0.15853658536585366</v>
      </c>
      <c r="S53" s="1">
        <f t="shared" si="6"/>
        <v>0.625</v>
      </c>
      <c r="T53" s="1">
        <f t="shared" si="7"/>
        <v>3.3576442683664589</v>
      </c>
      <c r="V53" s="1">
        <v>0.53</v>
      </c>
      <c r="W53" s="1">
        <f t="shared" si="17"/>
        <v>0.47</v>
      </c>
      <c r="X53" s="1">
        <f t="shared" si="15"/>
        <v>0.21793965517241382</v>
      </c>
      <c r="Y53" s="1">
        <f t="shared" si="9"/>
        <v>0.17138793103448274</v>
      </c>
      <c r="Z53" s="1">
        <f t="shared" ref="Z53" si="22">(N53-$N$102)^2+(O53-$O$102)^2+(P53-$P$102)^2+(Q53-$Q$102)^2+(R53-$R$102)^2+(S53-$S$102)^2</f>
        <v>0.12078371717088431</v>
      </c>
      <c r="AA53" s="1">
        <f t="shared" si="11"/>
        <v>0.13929037309795417</v>
      </c>
      <c r="AB53" s="1">
        <f t="shared" si="12"/>
        <v>0.53557958408686457</v>
      </c>
      <c r="AC53" s="1">
        <f t="shared" si="13"/>
        <v>0.46442041591313543</v>
      </c>
      <c r="AE53" s="15">
        <f t="shared" si="14"/>
        <v>1</v>
      </c>
      <c r="AF53" s="15">
        <f t="shared" si="21"/>
        <v>1</v>
      </c>
    </row>
    <row r="54" spans="1:32" ht="27.6" x14ac:dyDescent="0.3">
      <c r="A54" s="7">
        <v>202209</v>
      </c>
      <c r="B54" s="8">
        <v>44821</v>
      </c>
      <c r="C54" s="7">
        <v>70</v>
      </c>
      <c r="D54" s="7">
        <v>103</v>
      </c>
      <c r="E54" s="7">
        <v>51</v>
      </c>
      <c r="F54" s="7">
        <v>19</v>
      </c>
      <c r="G54" s="7">
        <v>49</v>
      </c>
      <c r="H54" s="7">
        <v>35</v>
      </c>
      <c r="I54" s="7">
        <v>103</v>
      </c>
      <c r="J54" s="7" t="s">
        <v>19</v>
      </c>
      <c r="K54" s="7" t="s">
        <v>22</v>
      </c>
      <c r="L54" s="7" t="s">
        <v>21</v>
      </c>
      <c r="N54" s="1">
        <f t="shared" si="1"/>
        <v>0.74137931034482762</v>
      </c>
      <c r="O54" s="10">
        <f t="shared" si="2"/>
        <v>0.5714285714285714</v>
      </c>
      <c r="P54" s="1">
        <f t="shared" si="3"/>
        <v>0.5</v>
      </c>
      <c r="Q54" s="1">
        <f t="shared" si="4"/>
        <v>0.52631578947368418</v>
      </c>
      <c r="R54" s="1">
        <f t="shared" si="5"/>
        <v>0.1951219512195122</v>
      </c>
      <c r="S54" s="1">
        <f t="shared" si="6"/>
        <v>0.6875</v>
      </c>
      <c r="T54" s="1">
        <f t="shared" si="7"/>
        <v>3.2217456224665955</v>
      </c>
      <c r="V54" s="1">
        <v>0.54</v>
      </c>
      <c r="W54" s="1">
        <f t="shared" si="17"/>
        <v>0.45999999999999996</v>
      </c>
      <c r="X54" s="1">
        <f t="shared" si="15"/>
        <v>0.21618620689655174</v>
      </c>
      <c r="Y54" s="1">
        <f t="shared" si="9"/>
        <v>0.1568758620689655</v>
      </c>
      <c r="Z54" s="1">
        <f t="shared" si="16"/>
        <v>6.4868185225631314E-2</v>
      </c>
      <c r="AA54" s="1">
        <f t="shared" si="11"/>
        <v>9.7370769779037525E-2</v>
      </c>
      <c r="AB54" s="1">
        <f t="shared" si="12"/>
        <v>0.60016886681891801</v>
      </c>
      <c r="AC54" s="1">
        <f t="shared" si="13"/>
        <v>0.39983113318108199</v>
      </c>
      <c r="AE54" s="15">
        <f t="shared" si="14"/>
        <v>1</v>
      </c>
      <c r="AF54" s="15">
        <f t="shared" si="21"/>
        <v>1</v>
      </c>
    </row>
    <row r="55" spans="1:32" x14ac:dyDescent="0.3">
      <c r="A55" s="7">
        <v>202209</v>
      </c>
      <c r="B55" s="8">
        <v>44820</v>
      </c>
      <c r="C55" s="7">
        <v>62</v>
      </c>
      <c r="D55" s="7">
        <v>100</v>
      </c>
      <c r="E55" s="7">
        <v>51</v>
      </c>
      <c r="F55" s="7">
        <v>18</v>
      </c>
      <c r="G55" s="7">
        <v>52</v>
      </c>
      <c r="H55" s="7">
        <v>33</v>
      </c>
      <c r="I55" s="7">
        <v>100</v>
      </c>
      <c r="J55" s="7" t="s">
        <v>19</v>
      </c>
      <c r="K55" s="7" t="s">
        <v>20</v>
      </c>
      <c r="L55" s="7" t="s">
        <v>21</v>
      </c>
      <c r="N55" s="1">
        <f t="shared" si="1"/>
        <v>0.60344827586206895</v>
      </c>
      <c r="O55" s="10">
        <f t="shared" si="2"/>
        <v>0.54285714285714282</v>
      </c>
      <c r="P55" s="1">
        <f t="shared" si="3"/>
        <v>0.5</v>
      </c>
      <c r="Q55" s="1">
        <f t="shared" si="4"/>
        <v>0.47368421052631576</v>
      </c>
      <c r="R55" s="1">
        <f t="shared" si="5"/>
        <v>0.21341463414634146</v>
      </c>
      <c r="S55" s="1">
        <f t="shared" si="6"/>
        <v>0.625</v>
      </c>
      <c r="T55" s="1">
        <f t="shared" si="7"/>
        <v>2.958404263391869</v>
      </c>
      <c r="V55" s="1">
        <v>0.55000000000000004</v>
      </c>
      <c r="W55" s="1">
        <f t="shared" si="17"/>
        <v>0.44999999999999996</v>
      </c>
      <c r="X55" s="1">
        <f t="shared" si="15"/>
        <v>0.18254310344827587</v>
      </c>
      <c r="Y55" s="1">
        <f t="shared" si="9"/>
        <v>0.12219827586206894</v>
      </c>
      <c r="Z55" s="1">
        <f t="shared" si="16"/>
        <v>1.6533562148843876E-2</v>
      </c>
      <c r="AA55" s="1">
        <f t="shared" si="11"/>
        <v>4.9274683360410833E-2</v>
      </c>
      <c r="AB55" s="1">
        <f t="shared" si="12"/>
        <v>0.74876154164421937</v>
      </c>
      <c r="AC55" s="1">
        <f t="shared" si="13"/>
        <v>0.25123845835578063</v>
      </c>
      <c r="AE55" s="15">
        <f t="shared" si="14"/>
        <v>1</v>
      </c>
      <c r="AF55" s="15">
        <f t="shared" si="21"/>
        <v>0</v>
      </c>
    </row>
    <row r="56" spans="1:32" ht="27.6" x14ac:dyDescent="0.3">
      <c r="A56" s="7">
        <v>202209</v>
      </c>
      <c r="B56" s="8">
        <v>44819</v>
      </c>
      <c r="C56" s="7">
        <v>78</v>
      </c>
      <c r="D56" s="7">
        <v>117</v>
      </c>
      <c r="E56" s="7">
        <v>51</v>
      </c>
      <c r="F56" s="7">
        <v>26</v>
      </c>
      <c r="G56" s="7">
        <v>34</v>
      </c>
      <c r="H56" s="7">
        <v>39</v>
      </c>
      <c r="I56" s="7">
        <v>117</v>
      </c>
      <c r="J56" s="7" t="s">
        <v>19</v>
      </c>
      <c r="K56" s="7" t="s">
        <v>22</v>
      </c>
      <c r="L56" s="7" t="s">
        <v>21</v>
      </c>
      <c r="N56" s="1">
        <f t="shared" si="1"/>
        <v>0.87931034482758619</v>
      </c>
      <c r="O56" s="10">
        <f t="shared" si="2"/>
        <v>0.70476190476190481</v>
      </c>
      <c r="P56" s="1">
        <f t="shared" si="3"/>
        <v>0.5</v>
      </c>
      <c r="Q56" s="1">
        <f t="shared" si="4"/>
        <v>0.89473684210526316</v>
      </c>
      <c r="R56" s="1">
        <f t="shared" si="5"/>
        <v>0.10365853658536585</v>
      </c>
      <c r="S56" s="1">
        <f t="shared" si="6"/>
        <v>0.8125</v>
      </c>
      <c r="T56" s="1">
        <f t="shared" si="7"/>
        <v>3.8949676282801202</v>
      </c>
      <c r="V56" s="1">
        <v>0.56000000000000005</v>
      </c>
      <c r="W56" s="1">
        <f t="shared" si="17"/>
        <v>0.43999999999999995</v>
      </c>
      <c r="X56" s="1">
        <f t="shared" si="15"/>
        <v>0.27575172413793109</v>
      </c>
      <c r="Y56" s="1">
        <f t="shared" si="9"/>
        <v>0.17023448275862066</v>
      </c>
      <c r="Z56" s="1">
        <f t="shared" si="16"/>
        <v>0.4184964092041803</v>
      </c>
      <c r="AA56" s="1">
        <f t="shared" si="11"/>
        <v>0.48636163601267268</v>
      </c>
      <c r="AB56" s="1">
        <f t="shared" si="12"/>
        <v>0.53750048262665795</v>
      </c>
      <c r="AC56" s="1">
        <f t="shared" si="13"/>
        <v>0.46249951737334205</v>
      </c>
      <c r="AE56" s="15">
        <f t="shared" si="14"/>
        <v>1</v>
      </c>
      <c r="AF56" s="15">
        <f t="shared" si="21"/>
        <v>1</v>
      </c>
    </row>
    <row r="57" spans="1:32" ht="27.6" x14ac:dyDescent="0.3">
      <c r="A57" s="7">
        <v>202209</v>
      </c>
      <c r="B57" s="8">
        <v>44818</v>
      </c>
      <c r="C57" s="7">
        <v>67</v>
      </c>
      <c r="D57" s="7">
        <v>113</v>
      </c>
      <c r="E57" s="7">
        <v>53</v>
      </c>
      <c r="F57" s="7">
        <v>18</v>
      </c>
      <c r="G57" s="7">
        <v>42</v>
      </c>
      <c r="H57" s="7">
        <v>38</v>
      </c>
      <c r="I57" s="7">
        <v>113</v>
      </c>
      <c r="J57" s="7" t="s">
        <v>19</v>
      </c>
      <c r="K57" s="7" t="s">
        <v>22</v>
      </c>
      <c r="L57" s="7" t="s">
        <v>21</v>
      </c>
      <c r="N57" s="1">
        <f t="shared" si="1"/>
        <v>0.68965517241379315</v>
      </c>
      <c r="O57" s="10">
        <f t="shared" si="2"/>
        <v>0.66666666666666663</v>
      </c>
      <c r="P57" s="1">
        <f t="shared" si="3"/>
        <v>0.66666666666666663</v>
      </c>
      <c r="Q57" s="1">
        <f t="shared" si="4"/>
        <v>0.47368421052631576</v>
      </c>
      <c r="R57" s="1">
        <f t="shared" si="5"/>
        <v>0.1524390243902439</v>
      </c>
      <c r="S57" s="1">
        <f t="shared" si="6"/>
        <v>0.78125</v>
      </c>
      <c r="T57" s="1">
        <f t="shared" si="7"/>
        <v>3.4303617406636859</v>
      </c>
      <c r="V57" s="1">
        <v>0.56999999999999995</v>
      </c>
      <c r="W57" s="1">
        <f t="shared" si="17"/>
        <v>0.43000000000000005</v>
      </c>
      <c r="X57" s="1">
        <f t="shared" si="15"/>
        <v>0.22406896551724137</v>
      </c>
      <c r="Y57" s="1">
        <f t="shared" si="9"/>
        <v>0.12751724137931039</v>
      </c>
      <c r="Z57" s="1">
        <f t="shared" si="16"/>
        <v>0.15393222413478938</v>
      </c>
      <c r="AA57" s="1">
        <f t="shared" si="11"/>
        <v>0.22064878140529715</v>
      </c>
      <c r="AB57" s="1">
        <f t="shared" si="12"/>
        <v>0.58905491240047403</v>
      </c>
      <c r="AC57" s="1">
        <f t="shared" si="13"/>
        <v>0.41094508759952597</v>
      </c>
      <c r="AE57" s="15">
        <f t="shared" si="14"/>
        <v>1</v>
      </c>
      <c r="AF57" s="15">
        <f t="shared" si="21"/>
        <v>1</v>
      </c>
    </row>
    <row r="58" spans="1:32" x14ac:dyDescent="0.3">
      <c r="A58" s="7">
        <v>202209</v>
      </c>
      <c r="B58" s="8">
        <v>44817</v>
      </c>
      <c r="C58" s="7">
        <v>59</v>
      </c>
      <c r="D58" s="7">
        <v>81</v>
      </c>
      <c r="E58" s="7">
        <v>52</v>
      </c>
      <c r="F58" s="7">
        <v>18</v>
      </c>
      <c r="G58" s="7">
        <v>45</v>
      </c>
      <c r="H58" s="7">
        <v>32</v>
      </c>
      <c r="I58" s="7">
        <v>81</v>
      </c>
      <c r="J58" s="7" t="s">
        <v>19</v>
      </c>
      <c r="K58" s="7" t="s">
        <v>20</v>
      </c>
      <c r="L58" s="7" t="s">
        <v>26</v>
      </c>
      <c r="N58" s="1">
        <f t="shared" si="1"/>
        <v>0.55172413793103448</v>
      </c>
      <c r="O58" s="10">
        <f t="shared" si="2"/>
        <v>0.3619047619047619</v>
      </c>
      <c r="P58" s="1">
        <f t="shared" si="3"/>
        <v>0.58333333333333337</v>
      </c>
      <c r="Q58" s="1">
        <f t="shared" si="4"/>
        <v>0.47368421052631576</v>
      </c>
      <c r="R58" s="1">
        <f t="shared" si="5"/>
        <v>0.17073170731707318</v>
      </c>
      <c r="S58" s="1">
        <f t="shared" si="6"/>
        <v>0.59375</v>
      </c>
      <c r="T58" s="1">
        <f t="shared" si="7"/>
        <v>2.7351281510125185</v>
      </c>
      <c r="V58" s="1">
        <v>0.57999999999999996</v>
      </c>
      <c r="W58" s="1">
        <f t="shared" si="17"/>
        <v>0.42000000000000004</v>
      </c>
      <c r="X58" s="1">
        <f t="shared" si="15"/>
        <v>0.18559999999999999</v>
      </c>
      <c r="Y58" s="1">
        <f t="shared" si="9"/>
        <v>9.7324137931034491E-2</v>
      </c>
      <c r="Z58" s="1">
        <f t="shared" si="16"/>
        <v>2.5376446911712792E-2</v>
      </c>
      <c r="AA58" s="1">
        <f t="shared" si="11"/>
        <v>9.3272711163904065E-2</v>
      </c>
      <c r="AB58" s="1">
        <f t="shared" si="12"/>
        <v>0.78612198077680406</v>
      </c>
      <c r="AC58" s="1">
        <f t="shared" si="13"/>
        <v>0.21387801922319594</v>
      </c>
      <c r="AE58" s="15">
        <f t="shared" si="14"/>
        <v>1</v>
      </c>
      <c r="AF58" s="15">
        <f t="shared" si="21"/>
        <v>0</v>
      </c>
    </row>
    <row r="59" spans="1:32" x14ac:dyDescent="0.3">
      <c r="A59" s="7">
        <v>202209</v>
      </c>
      <c r="B59" s="8">
        <v>44816</v>
      </c>
      <c r="C59" s="7">
        <v>53</v>
      </c>
      <c r="D59" s="7">
        <v>79</v>
      </c>
      <c r="E59" s="7">
        <v>52</v>
      </c>
      <c r="F59" s="7">
        <v>18</v>
      </c>
      <c r="G59" s="7">
        <v>35</v>
      </c>
      <c r="H59" s="7">
        <v>27</v>
      </c>
      <c r="I59" s="7">
        <v>79</v>
      </c>
      <c r="J59" s="7" t="s">
        <v>19</v>
      </c>
      <c r="K59" s="7" t="s">
        <v>20</v>
      </c>
      <c r="L59" s="7" t="s">
        <v>21</v>
      </c>
      <c r="N59" s="1">
        <f t="shared" si="1"/>
        <v>0.44827586206896552</v>
      </c>
      <c r="O59" s="10">
        <f t="shared" si="2"/>
        <v>0.34285714285714286</v>
      </c>
      <c r="P59" s="1">
        <f t="shared" si="3"/>
        <v>0.58333333333333337</v>
      </c>
      <c r="Q59" s="1">
        <f t="shared" si="4"/>
        <v>0.47368421052631576</v>
      </c>
      <c r="R59" s="1">
        <f t="shared" si="5"/>
        <v>0.10975609756097561</v>
      </c>
      <c r="S59" s="1">
        <f t="shared" si="6"/>
        <v>0.4375</v>
      </c>
      <c r="T59" s="1">
        <f t="shared" si="7"/>
        <v>2.3954066463467329</v>
      </c>
      <c r="V59" s="1">
        <v>0.59</v>
      </c>
      <c r="W59" s="1">
        <f t="shared" si="17"/>
        <v>0.41000000000000003</v>
      </c>
      <c r="X59" s="1">
        <f t="shared" si="15"/>
        <v>0.15604482758620689</v>
      </c>
      <c r="Y59" s="1">
        <f t="shared" si="9"/>
        <v>7.5355172413793123E-2</v>
      </c>
      <c r="Z59" s="1">
        <f t="shared" si="16"/>
        <v>6.1790487267629181E-2</v>
      </c>
      <c r="AA59" s="1">
        <f t="shared" si="11"/>
        <v>0.12473515456916019</v>
      </c>
      <c r="AB59" s="1">
        <f t="shared" si="12"/>
        <v>0.66872926071099603</v>
      </c>
      <c r="AC59" s="1">
        <f t="shared" si="13"/>
        <v>0.33127073928900397</v>
      </c>
      <c r="AE59" s="15">
        <f t="shared" si="14"/>
        <v>1</v>
      </c>
      <c r="AF59" s="15">
        <f t="shared" si="21"/>
        <v>0</v>
      </c>
    </row>
    <row r="60" spans="1:32" x14ac:dyDescent="0.3">
      <c r="A60" s="7">
        <v>202209</v>
      </c>
      <c r="B60" s="8">
        <v>44815</v>
      </c>
      <c r="C60" s="7">
        <v>64</v>
      </c>
      <c r="D60" s="7">
        <v>88</v>
      </c>
      <c r="E60" s="7">
        <v>51</v>
      </c>
      <c r="F60" s="7">
        <v>20</v>
      </c>
      <c r="G60" s="7">
        <v>37</v>
      </c>
      <c r="H60" s="7">
        <v>34</v>
      </c>
      <c r="I60" s="7">
        <v>88</v>
      </c>
      <c r="J60" s="7" t="s">
        <v>19</v>
      </c>
      <c r="K60" s="7" t="s">
        <v>20</v>
      </c>
      <c r="L60" s="7" t="s">
        <v>21</v>
      </c>
      <c r="N60" s="1">
        <f t="shared" si="1"/>
        <v>0.63793103448275867</v>
      </c>
      <c r="O60" s="10">
        <f t="shared" si="2"/>
        <v>0.42857142857142855</v>
      </c>
      <c r="P60" s="1">
        <f t="shared" si="3"/>
        <v>0.5</v>
      </c>
      <c r="Q60" s="1">
        <f t="shared" si="4"/>
        <v>0.57894736842105265</v>
      </c>
      <c r="R60" s="1">
        <f t="shared" si="5"/>
        <v>0.12195121951219512</v>
      </c>
      <c r="S60" s="1">
        <f t="shared" si="6"/>
        <v>0.65625</v>
      </c>
      <c r="T60" s="1">
        <f t="shared" si="7"/>
        <v>2.9236510509874352</v>
      </c>
      <c r="V60" s="1">
        <v>0.6</v>
      </c>
      <c r="W60" s="1">
        <f t="shared" si="17"/>
        <v>0.4</v>
      </c>
      <c r="X60" s="1">
        <f t="shared" si="15"/>
        <v>0.2296551724137931</v>
      </c>
      <c r="Y60" s="1">
        <f t="shared" si="9"/>
        <v>0.10206896551724141</v>
      </c>
      <c r="Z60" s="1">
        <f t="shared" si="16"/>
        <v>3.4861291869154459E-2</v>
      </c>
      <c r="AA60" s="1">
        <f t="shared" si="11"/>
        <v>0.10797278675727912</v>
      </c>
      <c r="AB60" s="1">
        <f t="shared" si="12"/>
        <v>0.75593155215898977</v>
      </c>
      <c r="AC60" s="1">
        <f t="shared" si="13"/>
        <v>0.24406844784101023</v>
      </c>
      <c r="AE60" s="15">
        <f t="shared" si="14"/>
        <v>1</v>
      </c>
      <c r="AF60" s="15">
        <f t="shared" si="21"/>
        <v>0</v>
      </c>
    </row>
    <row r="61" spans="1:32" x14ac:dyDescent="0.3">
      <c r="A61" s="7">
        <v>202209</v>
      </c>
      <c r="B61" s="8">
        <v>44814</v>
      </c>
      <c r="C61" s="7">
        <v>56</v>
      </c>
      <c r="D61" s="7">
        <v>72</v>
      </c>
      <c r="E61" s="7">
        <v>48</v>
      </c>
      <c r="F61" s="7">
        <v>22</v>
      </c>
      <c r="G61" s="7">
        <v>41</v>
      </c>
      <c r="H61" s="7">
        <v>39</v>
      </c>
      <c r="I61" s="7">
        <v>72</v>
      </c>
      <c r="J61" s="7" t="s">
        <v>19</v>
      </c>
      <c r="K61" s="7" t="s">
        <v>20</v>
      </c>
      <c r="L61" s="7" t="s">
        <v>21</v>
      </c>
      <c r="N61" s="1">
        <f t="shared" si="1"/>
        <v>0.5</v>
      </c>
      <c r="O61" s="10">
        <f t="shared" si="2"/>
        <v>0.27619047619047621</v>
      </c>
      <c r="P61" s="1">
        <f t="shared" si="3"/>
        <v>0.25</v>
      </c>
      <c r="Q61" s="1">
        <f t="shared" si="4"/>
        <v>0.68421052631578949</v>
      </c>
      <c r="R61" s="1">
        <f t="shared" si="5"/>
        <v>0.14634146341463414</v>
      </c>
      <c r="S61" s="1">
        <f t="shared" si="6"/>
        <v>0.8125</v>
      </c>
      <c r="T61" s="1">
        <f t="shared" si="7"/>
        <v>2.6692424659208998</v>
      </c>
      <c r="V61" s="1">
        <v>0.61</v>
      </c>
      <c r="W61" s="1">
        <f t="shared" si="17"/>
        <v>0.39</v>
      </c>
      <c r="X61" s="1">
        <f t="shared" si="15"/>
        <v>0.18604999999999999</v>
      </c>
      <c r="Y61" s="1">
        <f t="shared" si="9"/>
        <v>7.6050000000000006E-2</v>
      </c>
      <c r="Z61" s="1">
        <f t="shared" si="16"/>
        <v>0.20526283646288726</v>
      </c>
      <c r="AA61" s="1">
        <f t="shared" si="11"/>
        <v>0.32720804247601676</v>
      </c>
      <c r="AB61" s="1">
        <f t="shared" si="12"/>
        <v>0.61450880305054345</v>
      </c>
      <c r="AC61" s="1">
        <f t="shared" si="13"/>
        <v>0.38549119694945655</v>
      </c>
      <c r="AE61" s="15">
        <f t="shared" si="14"/>
        <v>1</v>
      </c>
      <c r="AF61" s="15">
        <f t="shared" si="21"/>
        <v>0</v>
      </c>
    </row>
    <row r="62" spans="1:32" x14ac:dyDescent="0.3">
      <c r="A62" s="7">
        <v>202209</v>
      </c>
      <c r="B62" s="8">
        <v>44813</v>
      </c>
      <c r="C62" s="7">
        <v>71</v>
      </c>
      <c r="D62" s="7">
        <v>91</v>
      </c>
      <c r="E62" s="7">
        <v>49</v>
      </c>
      <c r="F62" s="7">
        <v>28</v>
      </c>
      <c r="G62" s="7">
        <v>32</v>
      </c>
      <c r="H62" s="7">
        <v>43</v>
      </c>
      <c r="I62" s="7">
        <v>91</v>
      </c>
      <c r="J62" s="7" t="s">
        <v>19</v>
      </c>
      <c r="K62" s="7" t="s">
        <v>20</v>
      </c>
      <c r="L62" s="7" t="s">
        <v>24</v>
      </c>
      <c r="N62" s="1">
        <f t="shared" si="1"/>
        <v>0.75862068965517238</v>
      </c>
      <c r="O62" s="10">
        <f t="shared" si="2"/>
        <v>0.45714285714285713</v>
      </c>
      <c r="P62" s="1">
        <f t="shared" si="3"/>
        <v>0.33333333333333331</v>
      </c>
      <c r="Q62" s="1">
        <f t="shared" si="4"/>
        <v>1</v>
      </c>
      <c r="R62" s="1">
        <f t="shared" si="5"/>
        <v>9.1463414634146339E-2</v>
      </c>
      <c r="S62" s="1">
        <f t="shared" si="6"/>
        <v>0.9375</v>
      </c>
      <c r="T62" s="1">
        <f t="shared" si="7"/>
        <v>3.5780602947655091</v>
      </c>
      <c r="V62" s="1">
        <v>0.62</v>
      </c>
      <c r="W62" s="1">
        <f t="shared" si="17"/>
        <v>0.38</v>
      </c>
      <c r="X62" s="1">
        <f t="shared" si="15"/>
        <v>0.29161379310344826</v>
      </c>
      <c r="Y62" s="1">
        <f t="shared" si="9"/>
        <v>0.10954482758620689</v>
      </c>
      <c r="Z62" s="1">
        <f t="shared" si="16"/>
        <v>0.49987189608150029</v>
      </c>
      <c r="AA62" s="1">
        <f t="shared" si="11"/>
        <v>0.63240771580982524</v>
      </c>
      <c r="AB62" s="1">
        <f t="shared" si="12"/>
        <v>0.55852610006239589</v>
      </c>
      <c r="AC62" s="1">
        <f t="shared" si="13"/>
        <v>0.44147389993760411</v>
      </c>
      <c r="AE62" s="15">
        <f t="shared" si="14"/>
        <v>1</v>
      </c>
      <c r="AF62" s="15">
        <f t="shared" si="21"/>
        <v>0</v>
      </c>
    </row>
    <row r="63" spans="1:32" x14ac:dyDescent="0.3">
      <c r="A63" s="7">
        <v>202209</v>
      </c>
      <c r="B63" s="8">
        <v>44812</v>
      </c>
      <c r="C63" s="7">
        <v>61</v>
      </c>
      <c r="D63" s="7">
        <v>87</v>
      </c>
      <c r="E63" s="7">
        <v>48</v>
      </c>
      <c r="F63" s="7">
        <v>26</v>
      </c>
      <c r="G63" s="7">
        <v>32</v>
      </c>
      <c r="H63" s="7">
        <v>45</v>
      </c>
      <c r="I63" s="7">
        <v>87</v>
      </c>
      <c r="J63" s="7" t="s">
        <v>19</v>
      </c>
      <c r="K63" s="7" t="s">
        <v>20</v>
      </c>
      <c r="L63" s="7" t="s">
        <v>21</v>
      </c>
      <c r="N63" s="1">
        <f t="shared" si="1"/>
        <v>0.58620689655172409</v>
      </c>
      <c r="O63" s="10">
        <f t="shared" si="2"/>
        <v>0.41904761904761906</v>
      </c>
      <c r="P63" s="1">
        <f t="shared" si="3"/>
        <v>0.25</v>
      </c>
      <c r="Q63" s="1">
        <f t="shared" si="4"/>
        <v>0.89473684210526316</v>
      </c>
      <c r="R63" s="1">
        <f t="shared" si="5"/>
        <v>9.1463414634146339E-2</v>
      </c>
      <c r="S63" s="1">
        <f t="shared" si="6"/>
        <v>1</v>
      </c>
      <c r="T63" s="1">
        <f t="shared" si="7"/>
        <v>3.2414547723387526</v>
      </c>
      <c r="V63" s="1">
        <v>0.63</v>
      </c>
      <c r="W63" s="1">
        <f t="shared" si="17"/>
        <v>0.37</v>
      </c>
      <c r="X63" s="1">
        <f t="shared" si="15"/>
        <v>0.23266551724137932</v>
      </c>
      <c r="Y63" s="1">
        <f t="shared" si="9"/>
        <v>8.0251724137931024E-2</v>
      </c>
      <c r="Z63" s="1">
        <f t="shared" si="16"/>
        <v>0.44868016191886395</v>
      </c>
      <c r="AA63" s="1">
        <f t="shared" si="11"/>
        <v>0.60749758522755359</v>
      </c>
      <c r="AB63" s="1">
        <f t="shared" si="12"/>
        <v>0.5751849883875052</v>
      </c>
      <c r="AC63" s="1">
        <f t="shared" si="13"/>
        <v>0.4248150116124948</v>
      </c>
      <c r="AE63" s="15">
        <f t="shared" si="14"/>
        <v>1</v>
      </c>
      <c r="AF63" s="15">
        <f t="shared" si="21"/>
        <v>0</v>
      </c>
    </row>
    <row r="64" spans="1:32" x14ac:dyDescent="0.3">
      <c r="A64" s="7">
        <v>202209</v>
      </c>
      <c r="B64" s="8">
        <v>44811</v>
      </c>
      <c r="C64" s="7">
        <v>55</v>
      </c>
      <c r="D64" s="7">
        <v>79</v>
      </c>
      <c r="E64" s="7">
        <v>49</v>
      </c>
      <c r="F64" s="7">
        <v>15</v>
      </c>
      <c r="G64" s="7">
        <v>38</v>
      </c>
      <c r="H64" s="7">
        <v>21</v>
      </c>
      <c r="I64" s="7">
        <v>79</v>
      </c>
      <c r="J64" s="7" t="s">
        <v>19</v>
      </c>
      <c r="K64" s="7" t="s">
        <v>20</v>
      </c>
      <c r="L64" s="7" t="s">
        <v>21</v>
      </c>
      <c r="N64" s="1">
        <f t="shared" si="1"/>
        <v>0.48275862068965519</v>
      </c>
      <c r="O64" s="10">
        <f t="shared" si="2"/>
        <v>0.34285714285714286</v>
      </c>
      <c r="P64" s="1">
        <f t="shared" si="3"/>
        <v>0.33333333333333331</v>
      </c>
      <c r="Q64" s="1">
        <f t="shared" si="4"/>
        <v>0.31578947368421051</v>
      </c>
      <c r="R64" s="1">
        <f t="shared" si="5"/>
        <v>0.12804878048780488</v>
      </c>
      <c r="S64" s="1">
        <f t="shared" si="6"/>
        <v>0.25</v>
      </c>
      <c r="T64" s="1">
        <f t="shared" si="7"/>
        <v>1.8527873510521466</v>
      </c>
      <c r="V64" s="1">
        <v>0.64</v>
      </c>
      <c r="W64" s="1">
        <f t="shared" si="17"/>
        <v>0.36</v>
      </c>
      <c r="X64" s="1">
        <f t="shared" si="15"/>
        <v>0.19773793103448278</v>
      </c>
      <c r="Y64" s="1">
        <f t="shared" si="9"/>
        <v>6.2565517241379306E-2</v>
      </c>
      <c r="Z64" s="1">
        <f t="shared" si="16"/>
        <v>0.15297448365976368</v>
      </c>
      <c r="AA64" s="1">
        <f t="shared" si="11"/>
        <v>0.1401303630242178</v>
      </c>
      <c r="AB64" s="1">
        <f t="shared" si="12"/>
        <v>0.47808954580441637</v>
      </c>
      <c r="AC64" s="1">
        <f t="shared" si="13"/>
        <v>0.52191045419558368</v>
      </c>
      <c r="AE64" s="15">
        <f t="shared" si="14"/>
        <v>2</v>
      </c>
      <c r="AF64" s="15">
        <f t="shared" si="21"/>
        <v>1</v>
      </c>
    </row>
    <row r="65" spans="1:32" x14ac:dyDescent="0.3">
      <c r="A65" s="7">
        <v>202209</v>
      </c>
      <c r="B65" s="8">
        <v>44810</v>
      </c>
      <c r="C65" s="7">
        <v>63</v>
      </c>
      <c r="D65" s="7">
        <v>86</v>
      </c>
      <c r="E65" s="7">
        <v>51</v>
      </c>
      <c r="F65" s="7">
        <v>12</v>
      </c>
      <c r="G65" s="7">
        <v>43</v>
      </c>
      <c r="H65" s="7">
        <v>17</v>
      </c>
      <c r="I65" s="7">
        <v>86</v>
      </c>
      <c r="J65" s="7" t="s">
        <v>19</v>
      </c>
      <c r="K65" s="7" t="s">
        <v>20</v>
      </c>
      <c r="L65" s="7" t="s">
        <v>21</v>
      </c>
      <c r="N65" s="1">
        <f t="shared" si="1"/>
        <v>0.62068965517241381</v>
      </c>
      <c r="O65" s="10">
        <f t="shared" si="2"/>
        <v>0.40952380952380951</v>
      </c>
      <c r="P65" s="1">
        <f t="shared" si="3"/>
        <v>0.5</v>
      </c>
      <c r="Q65" s="1">
        <f t="shared" si="4"/>
        <v>0.15789473684210525</v>
      </c>
      <c r="R65" s="1">
        <f t="shared" si="5"/>
        <v>0.15853658536585366</v>
      </c>
      <c r="S65" s="1">
        <f t="shared" si="6"/>
        <v>0.125</v>
      </c>
      <c r="T65" s="1">
        <f t="shared" si="7"/>
        <v>1.9716447869041822</v>
      </c>
      <c r="V65" s="1">
        <v>0.67</v>
      </c>
      <c r="W65" s="1">
        <f t="shared" si="17"/>
        <v>0.32999999999999996</v>
      </c>
      <c r="X65" s="1">
        <f t="shared" si="15"/>
        <v>0.27862758620689659</v>
      </c>
      <c r="Y65" s="1">
        <f t="shared" si="9"/>
        <v>6.7593103448275849E-2</v>
      </c>
      <c r="Z65" s="1">
        <f t="shared" si="16"/>
        <v>0.27699596677975069</v>
      </c>
      <c r="AA65" s="1">
        <f t="shared" si="11"/>
        <v>0.21031066887637381</v>
      </c>
      <c r="AB65" s="1">
        <f t="shared" si="12"/>
        <v>0.4315776833065389</v>
      </c>
      <c r="AC65" s="1">
        <f t="shared" si="13"/>
        <v>0.5684223166934611</v>
      </c>
      <c r="AE65" s="15">
        <f t="shared" si="14"/>
        <v>2</v>
      </c>
      <c r="AF65" s="15">
        <f t="shared" si="21"/>
        <v>1</v>
      </c>
    </row>
    <row r="66" spans="1:32" ht="27.6" x14ac:dyDescent="0.3">
      <c r="A66" s="7">
        <v>202209</v>
      </c>
      <c r="B66" s="8">
        <v>44809</v>
      </c>
      <c r="C66" s="7">
        <v>59</v>
      </c>
      <c r="D66" s="7">
        <v>105</v>
      </c>
      <c r="E66" s="7">
        <v>51</v>
      </c>
      <c r="F66" s="7">
        <v>15</v>
      </c>
      <c r="G66" s="7">
        <v>45</v>
      </c>
      <c r="H66" s="7">
        <v>23</v>
      </c>
      <c r="I66" s="7">
        <v>105</v>
      </c>
      <c r="J66" s="7" t="s">
        <v>19</v>
      </c>
      <c r="K66" s="7" t="s">
        <v>22</v>
      </c>
      <c r="L66" s="7" t="s">
        <v>21</v>
      </c>
      <c r="N66" s="1">
        <f t="shared" si="1"/>
        <v>0.55172413793103448</v>
      </c>
      <c r="O66" s="10">
        <f t="shared" si="2"/>
        <v>0.59047619047619049</v>
      </c>
      <c r="P66" s="1">
        <f t="shared" si="3"/>
        <v>0.5</v>
      </c>
      <c r="Q66" s="1">
        <f t="shared" si="4"/>
        <v>0.31578947368421051</v>
      </c>
      <c r="R66" s="1">
        <f t="shared" si="5"/>
        <v>0.17073170731707318</v>
      </c>
      <c r="S66" s="1">
        <f t="shared" si="6"/>
        <v>0.3125</v>
      </c>
      <c r="T66" s="1">
        <f t="shared" si="7"/>
        <v>2.4412215094085088</v>
      </c>
      <c r="V66" s="1">
        <v>0.68</v>
      </c>
      <c r="W66" s="1">
        <f t="shared" si="17"/>
        <v>0.31999999999999995</v>
      </c>
      <c r="X66" s="1">
        <f t="shared" si="15"/>
        <v>0.25511724137931041</v>
      </c>
      <c r="Y66" s="1">
        <f t="shared" si="9"/>
        <v>5.6496551724137908E-2</v>
      </c>
      <c r="Z66" s="1">
        <f t="shared" si="16"/>
        <v>9.8151734455898462E-2</v>
      </c>
      <c r="AA66" s="1">
        <f t="shared" si="11"/>
        <v>6.6198714369404971E-2</v>
      </c>
      <c r="AB66" s="1">
        <f t="shared" si="12"/>
        <v>0.40278998227605084</v>
      </c>
      <c r="AC66" s="1">
        <f t="shared" si="13"/>
        <v>0.59721001772394922</v>
      </c>
      <c r="AE66" s="15">
        <f t="shared" si="14"/>
        <v>2</v>
      </c>
      <c r="AF66" s="15">
        <f t="shared" si="21"/>
        <v>0</v>
      </c>
    </row>
    <row r="67" spans="1:32" x14ac:dyDescent="0.3">
      <c r="A67" s="7">
        <v>202209</v>
      </c>
      <c r="B67" s="8">
        <v>44808</v>
      </c>
      <c r="C67" s="7">
        <v>42</v>
      </c>
      <c r="D67" s="7">
        <v>76</v>
      </c>
      <c r="E67" s="7">
        <v>50</v>
      </c>
      <c r="F67" s="7">
        <v>9</v>
      </c>
      <c r="G67" s="7">
        <v>33</v>
      </c>
      <c r="H67" s="7">
        <v>14</v>
      </c>
      <c r="I67" s="7">
        <v>76</v>
      </c>
      <c r="J67" s="7" t="s">
        <v>19</v>
      </c>
      <c r="K67" s="7" t="s">
        <v>20</v>
      </c>
      <c r="L67" s="7" t="s">
        <v>21</v>
      </c>
      <c r="N67" s="1">
        <f t="shared" ref="N67:N98" si="23">(C67 - MIN(C$2:C$99)) / (MAX(C$2:C$99) - MIN(C$2:C$99))</f>
        <v>0.25862068965517243</v>
      </c>
      <c r="O67" s="10">
        <f t="shared" ref="O67:O98" si="24">(D67-MIN(D$2:D$99))/(MAX(D$2:D$99)-MIN(D$2:D$99))</f>
        <v>0.31428571428571428</v>
      </c>
      <c r="P67" s="1">
        <f t="shared" ref="P67:P98" si="25">(E67-MIN(E$2:E$99))/(MAX(E$2:E$99)-MIN(E$2:E$99))</f>
        <v>0.41666666666666669</v>
      </c>
      <c r="Q67" s="1">
        <f t="shared" ref="Q67:Q98" si="26">(F67-MIN(F$2:F$99))/(MAX(F$2:F$99)-MIN(F$2:F$99))</f>
        <v>0</v>
      </c>
      <c r="R67" s="1">
        <f t="shared" ref="R67:R98" si="27">(G67-MIN(G$2:G$99))/(MAX(G$2:G$99)-MIN(G$2:G$99))</f>
        <v>9.7560975609756101E-2</v>
      </c>
      <c r="S67" s="1">
        <f t="shared" ref="S67:S98" si="28">(H67-MIN(H$2:H$99))/(MAX(H$2:H$99)-MIN(H$2:H$99))</f>
        <v>3.125E-2</v>
      </c>
      <c r="T67" s="1">
        <f t="shared" ref="T67:T98" si="29">SUM(N67:S67)</f>
        <v>1.1183840462173096</v>
      </c>
      <c r="V67" s="1">
        <v>0.69</v>
      </c>
      <c r="W67" s="1">
        <f t="shared" ref="W67:W98" si="30">1 - V67</f>
        <v>0.31000000000000005</v>
      </c>
      <c r="X67" s="1">
        <f t="shared" ref="X67:X98" si="31">V67^2 * N67</f>
        <v>0.12312931034482757</v>
      </c>
      <c r="Y67" s="1">
        <f t="shared" ref="Y67:Y98" si="32">W67^2 * N67</f>
        <v>2.485344827586208E-2</v>
      </c>
      <c r="Z67" s="1">
        <f t="shared" ref="Z67:Z98" si="33">(N67-$N$102)^2 + (O67-$O$102)^2 + (P67-$P$102)^2 + (Q67-$Q$102)^2 + (R67-$R$102)^2 + (S67-$S$102)^2</f>
        <v>0.61382065051003742</v>
      </c>
      <c r="AA67" s="1">
        <f t="shared" ref="AA67:AA98" si="34">(N67-$N$103)^2+(O67-$O$103)^2+(P67-$P$103)^2+(Q67-$Q$103)^2+(R67-$R$103)^2+(S67-$S$103)^2</f>
        <v>0.5803037983545174</v>
      </c>
      <c r="AB67" s="1">
        <f t="shared" ref="AB67:AB98" si="35">(1/Z67) / ((1/Z67) + (1/AA67))</f>
        <v>0.48596593002203842</v>
      </c>
      <c r="AC67" s="1">
        <f t="shared" ref="AC67:AC98" si="36">1 - AB67</f>
        <v>0.51403406997796153</v>
      </c>
      <c r="AE67" s="15">
        <f t="shared" ref="AE67:AE98" si="37">IF(AB67 &gt; AC67, 1, 2)</f>
        <v>2</v>
      </c>
      <c r="AF67" s="15">
        <f t="shared" si="21"/>
        <v>1</v>
      </c>
    </row>
    <row r="68" spans="1:32" ht="27.6" x14ac:dyDescent="0.3">
      <c r="A68" s="7">
        <v>202209</v>
      </c>
      <c r="B68" s="8">
        <v>44807</v>
      </c>
      <c r="C68" s="7">
        <v>64</v>
      </c>
      <c r="D68" s="7">
        <v>102</v>
      </c>
      <c r="E68" s="7">
        <v>50</v>
      </c>
      <c r="F68" s="7">
        <v>18</v>
      </c>
      <c r="G68" s="7">
        <v>37</v>
      </c>
      <c r="H68" s="7">
        <v>31</v>
      </c>
      <c r="I68" s="7">
        <v>102</v>
      </c>
      <c r="J68" s="7" t="s">
        <v>19</v>
      </c>
      <c r="K68" s="7" t="s">
        <v>22</v>
      </c>
      <c r="L68" s="7" t="s">
        <v>21</v>
      </c>
      <c r="N68" s="1">
        <f t="shared" si="23"/>
        <v>0.63793103448275867</v>
      </c>
      <c r="O68" s="10">
        <f t="shared" si="24"/>
        <v>0.56190476190476191</v>
      </c>
      <c r="P68" s="1">
        <f t="shared" si="25"/>
        <v>0.41666666666666669</v>
      </c>
      <c r="Q68" s="1">
        <f t="shared" si="26"/>
        <v>0.47368421052631576</v>
      </c>
      <c r="R68" s="1">
        <f t="shared" si="27"/>
        <v>0.12195121951219512</v>
      </c>
      <c r="S68" s="1">
        <f t="shared" si="28"/>
        <v>0.5625</v>
      </c>
      <c r="T68" s="1">
        <f t="shared" si="29"/>
        <v>2.7746378930926983</v>
      </c>
      <c r="V68" s="1">
        <v>0.7</v>
      </c>
      <c r="W68" s="1">
        <f t="shared" si="30"/>
        <v>0.30000000000000004</v>
      </c>
      <c r="X68" s="1">
        <f t="shared" si="31"/>
        <v>0.3125862068965517</v>
      </c>
      <c r="Y68" s="1">
        <f t="shared" si="32"/>
        <v>5.7413793103448296E-2</v>
      </c>
      <c r="Z68" s="1">
        <f t="shared" si="33"/>
        <v>2.2456681536891052E-2</v>
      </c>
      <c r="AA68" s="1">
        <f t="shared" si="34"/>
        <v>4.8681176856519098E-2</v>
      </c>
      <c r="AB68" s="1">
        <f t="shared" si="35"/>
        <v>0.68432165313861459</v>
      </c>
      <c r="AC68" s="1">
        <f t="shared" si="36"/>
        <v>0.31567834686138541</v>
      </c>
      <c r="AE68" s="15">
        <f t="shared" si="37"/>
        <v>1</v>
      </c>
      <c r="AF68" s="15">
        <f t="shared" si="21"/>
        <v>1</v>
      </c>
    </row>
    <row r="69" spans="1:32" ht="27.6" x14ac:dyDescent="0.3">
      <c r="A69" s="7">
        <v>202209</v>
      </c>
      <c r="B69" s="8">
        <v>44806</v>
      </c>
      <c r="C69" s="7">
        <v>71</v>
      </c>
      <c r="D69" s="7">
        <v>108</v>
      </c>
      <c r="E69" s="7">
        <v>51</v>
      </c>
      <c r="F69" s="7">
        <v>21</v>
      </c>
      <c r="G69" s="7">
        <v>35</v>
      </c>
      <c r="H69" s="7">
        <v>32</v>
      </c>
      <c r="I69" s="7">
        <v>108</v>
      </c>
      <c r="J69" s="7" t="s">
        <v>19</v>
      </c>
      <c r="K69" s="7" t="s">
        <v>22</v>
      </c>
      <c r="L69" s="7" t="s">
        <v>21</v>
      </c>
      <c r="N69" s="1">
        <f t="shared" si="23"/>
        <v>0.75862068965517238</v>
      </c>
      <c r="O69" s="10">
        <f t="shared" si="24"/>
        <v>0.61904761904761907</v>
      </c>
      <c r="P69" s="1">
        <f t="shared" si="25"/>
        <v>0.5</v>
      </c>
      <c r="Q69" s="1">
        <f t="shared" si="26"/>
        <v>0.63157894736842102</v>
      </c>
      <c r="R69" s="1">
        <f t="shared" si="27"/>
        <v>0.10975609756097561</v>
      </c>
      <c r="S69" s="1">
        <f t="shared" si="28"/>
        <v>0.59375</v>
      </c>
      <c r="T69" s="1">
        <f t="shared" si="29"/>
        <v>3.2127533536321882</v>
      </c>
      <c r="V69" s="1">
        <v>0.71</v>
      </c>
      <c r="W69" s="1">
        <f t="shared" si="30"/>
        <v>0.29000000000000004</v>
      </c>
      <c r="X69" s="1">
        <f t="shared" si="31"/>
        <v>0.3824206896551724</v>
      </c>
      <c r="Y69" s="1">
        <f t="shared" si="32"/>
        <v>6.3800000000000009E-2</v>
      </c>
      <c r="Z69" s="1">
        <f t="shared" si="33"/>
        <v>9.7677293487552594E-2</v>
      </c>
      <c r="AA69" s="1">
        <f t="shared" si="34"/>
        <v>0.12732086419122141</v>
      </c>
      <c r="AB69" s="1">
        <f t="shared" si="35"/>
        <v>0.56587514095557723</v>
      </c>
      <c r="AC69" s="1">
        <f t="shared" si="36"/>
        <v>0.43412485904442277</v>
      </c>
      <c r="AE69" s="15">
        <f t="shared" si="37"/>
        <v>1</v>
      </c>
      <c r="AF69" s="15">
        <f t="shared" si="21"/>
        <v>1</v>
      </c>
    </row>
    <row r="70" spans="1:32" x14ac:dyDescent="0.3">
      <c r="A70" s="7">
        <v>202210</v>
      </c>
      <c r="B70" s="8">
        <v>44860</v>
      </c>
      <c r="C70" s="7">
        <v>39</v>
      </c>
      <c r="D70" s="7">
        <v>43</v>
      </c>
      <c r="E70" s="7">
        <v>51</v>
      </c>
      <c r="F70" s="7">
        <v>11</v>
      </c>
      <c r="G70" s="7">
        <v>27</v>
      </c>
      <c r="H70" s="7">
        <v>17</v>
      </c>
      <c r="I70" s="7">
        <v>51</v>
      </c>
      <c r="J70" s="7" t="s">
        <v>27</v>
      </c>
      <c r="K70" s="7" t="s">
        <v>20</v>
      </c>
      <c r="L70" s="7" t="s">
        <v>21</v>
      </c>
      <c r="N70" s="1">
        <f t="shared" si="23"/>
        <v>0.20689655172413793</v>
      </c>
      <c r="O70" s="10">
        <f t="shared" si="24"/>
        <v>0</v>
      </c>
      <c r="P70" s="1">
        <f t="shared" si="25"/>
        <v>0.5</v>
      </c>
      <c r="Q70" s="1">
        <f t="shared" si="26"/>
        <v>0.10526315789473684</v>
      </c>
      <c r="R70" s="1">
        <f t="shared" si="27"/>
        <v>6.097560975609756E-2</v>
      </c>
      <c r="S70" s="1">
        <f t="shared" si="28"/>
        <v>0.125</v>
      </c>
      <c r="T70" s="1">
        <f t="shared" si="29"/>
        <v>0.99813531937497224</v>
      </c>
      <c r="V70" s="1">
        <v>0.72</v>
      </c>
      <c r="W70" s="1">
        <f t="shared" si="30"/>
        <v>0.28000000000000003</v>
      </c>
      <c r="X70" s="1">
        <f t="shared" si="31"/>
        <v>0.10725517241379309</v>
      </c>
      <c r="Y70" s="1">
        <f t="shared" si="32"/>
        <v>1.6220689655172416E-2</v>
      </c>
      <c r="Z70" s="1">
        <f t="shared" ref="Z70" si="38">(N70-$N$102)^2+(O70-$O$102)^2+(P70-$P$102)^2+(Q70-$Q$102)^2+(R70-$R$102)^2+(S70-$S$102)^2</f>
        <v>0.66792292395346098</v>
      </c>
      <c r="AA70" s="1">
        <f t="shared" si="34"/>
        <v>0.71539811769209938</v>
      </c>
      <c r="AB70" s="1">
        <f t="shared" si="35"/>
        <v>0.51715986105516154</v>
      </c>
      <c r="AC70" s="1">
        <f t="shared" si="36"/>
        <v>0.48284013894483846</v>
      </c>
      <c r="AE70" s="15">
        <f t="shared" si="37"/>
        <v>1</v>
      </c>
      <c r="AF70" s="15">
        <f t="shared" si="21"/>
        <v>0</v>
      </c>
    </row>
    <row r="71" spans="1:32" x14ac:dyDescent="0.3">
      <c r="A71" s="7">
        <v>202210</v>
      </c>
      <c r="B71" s="8">
        <v>44859</v>
      </c>
      <c r="C71" s="7">
        <v>27</v>
      </c>
      <c r="D71" s="7">
        <v>53</v>
      </c>
      <c r="E71" s="7">
        <v>51</v>
      </c>
      <c r="F71" s="7">
        <v>9</v>
      </c>
      <c r="G71" s="7">
        <v>30</v>
      </c>
      <c r="H71" s="7">
        <v>19</v>
      </c>
      <c r="I71" s="7">
        <v>53</v>
      </c>
      <c r="J71" s="7" t="s">
        <v>19</v>
      </c>
      <c r="K71" s="7" t="s">
        <v>20</v>
      </c>
      <c r="L71" s="7" t="s">
        <v>23</v>
      </c>
      <c r="N71" s="1">
        <f t="shared" si="23"/>
        <v>0</v>
      </c>
      <c r="O71" s="10">
        <f t="shared" si="24"/>
        <v>9.5238095238095233E-2</v>
      </c>
      <c r="P71" s="1">
        <f t="shared" si="25"/>
        <v>0.5</v>
      </c>
      <c r="Q71" s="1">
        <f t="shared" si="26"/>
        <v>0</v>
      </c>
      <c r="R71" s="1">
        <f t="shared" si="27"/>
        <v>7.926829268292683E-2</v>
      </c>
      <c r="S71" s="1">
        <f t="shared" si="28"/>
        <v>0.1875</v>
      </c>
      <c r="T71" s="1">
        <f t="shared" si="29"/>
        <v>0.86200638792102202</v>
      </c>
      <c r="V71" s="1">
        <v>0.73</v>
      </c>
      <c r="W71" s="1">
        <f t="shared" si="30"/>
        <v>0.27</v>
      </c>
      <c r="X71" s="1">
        <f t="shared" si="31"/>
        <v>0</v>
      </c>
      <c r="Y71" s="1">
        <f t="shared" si="32"/>
        <v>0</v>
      </c>
      <c r="Z71" s="1">
        <f t="shared" si="33"/>
        <v>0.82099711163469857</v>
      </c>
      <c r="AA71" s="1">
        <f t="shared" si="34"/>
        <v>0.88681890020551413</v>
      </c>
      <c r="AB71" s="1">
        <f t="shared" si="35"/>
        <v>0.51927074934140327</v>
      </c>
      <c r="AC71" s="1">
        <f t="shared" si="36"/>
        <v>0.48072925065859673</v>
      </c>
      <c r="AE71" s="15">
        <f t="shared" si="37"/>
        <v>1</v>
      </c>
      <c r="AF71" s="15">
        <f t="shared" si="21"/>
        <v>0</v>
      </c>
    </row>
    <row r="72" spans="1:32" x14ac:dyDescent="0.3">
      <c r="A72" s="7">
        <v>202210</v>
      </c>
      <c r="B72" s="8">
        <v>44858</v>
      </c>
      <c r="C72" s="7">
        <v>41</v>
      </c>
      <c r="D72" s="7">
        <v>57</v>
      </c>
      <c r="E72" s="7">
        <v>50</v>
      </c>
      <c r="F72" s="7">
        <v>10</v>
      </c>
      <c r="G72" s="7">
        <v>31</v>
      </c>
      <c r="H72" s="7">
        <v>18</v>
      </c>
      <c r="I72" s="7">
        <v>57</v>
      </c>
      <c r="J72" s="7" t="s">
        <v>19</v>
      </c>
      <c r="K72" s="7" t="s">
        <v>20</v>
      </c>
      <c r="L72" s="7" t="s">
        <v>21</v>
      </c>
      <c r="N72" s="1">
        <f t="shared" si="23"/>
        <v>0.2413793103448276</v>
      </c>
      <c r="O72" s="10">
        <f t="shared" si="24"/>
        <v>0.13333333333333333</v>
      </c>
      <c r="P72" s="1">
        <f t="shared" si="25"/>
        <v>0.41666666666666669</v>
      </c>
      <c r="Q72" s="1">
        <f t="shared" si="26"/>
        <v>5.2631578947368418E-2</v>
      </c>
      <c r="R72" s="1">
        <f t="shared" si="27"/>
        <v>8.5365853658536592E-2</v>
      </c>
      <c r="S72" s="1">
        <f t="shared" si="28"/>
        <v>0.15625</v>
      </c>
      <c r="T72" s="1">
        <f t="shared" si="29"/>
        <v>1.0856267429507325</v>
      </c>
      <c r="V72" s="1">
        <v>0.74</v>
      </c>
      <c r="W72" s="1">
        <f t="shared" si="30"/>
        <v>0.26</v>
      </c>
      <c r="X72" s="1">
        <f t="shared" si="31"/>
        <v>0.13217931034482758</v>
      </c>
      <c r="Y72" s="1">
        <f t="shared" si="32"/>
        <v>1.6317241379310347E-2</v>
      </c>
      <c r="Z72" s="1">
        <f t="shared" si="33"/>
        <v>0.55095261283049823</v>
      </c>
      <c r="AA72" s="1">
        <f t="shared" si="34"/>
        <v>0.57143807050734707</v>
      </c>
      <c r="AB72" s="1">
        <f t="shared" si="35"/>
        <v>0.50912581420220271</v>
      </c>
      <c r="AC72" s="1">
        <f t="shared" si="36"/>
        <v>0.49087418579779729</v>
      </c>
      <c r="AE72" s="15">
        <f t="shared" si="37"/>
        <v>1</v>
      </c>
      <c r="AF72" s="15">
        <f t="shared" si="21"/>
        <v>0</v>
      </c>
    </row>
    <row r="73" spans="1:32" x14ac:dyDescent="0.3">
      <c r="A73" s="7">
        <v>202210</v>
      </c>
      <c r="B73" s="8">
        <v>44857</v>
      </c>
      <c r="C73" s="7">
        <v>52</v>
      </c>
      <c r="D73" s="7">
        <v>66</v>
      </c>
      <c r="E73" s="7">
        <v>51</v>
      </c>
      <c r="F73" s="7">
        <v>11</v>
      </c>
      <c r="G73" s="7">
        <v>45</v>
      </c>
      <c r="H73" s="7">
        <v>21</v>
      </c>
      <c r="I73" s="7">
        <v>66</v>
      </c>
      <c r="J73" s="7" t="s">
        <v>19</v>
      </c>
      <c r="K73" s="7" t="s">
        <v>20</v>
      </c>
      <c r="L73" s="7" t="s">
        <v>21</v>
      </c>
      <c r="N73" s="1">
        <f t="shared" si="23"/>
        <v>0.43103448275862066</v>
      </c>
      <c r="O73" s="10">
        <f t="shared" si="24"/>
        <v>0.21904761904761905</v>
      </c>
      <c r="P73" s="1">
        <f t="shared" si="25"/>
        <v>0.5</v>
      </c>
      <c r="Q73" s="1">
        <f t="shared" si="26"/>
        <v>0.10526315789473684</v>
      </c>
      <c r="R73" s="1">
        <f t="shared" si="27"/>
        <v>0.17073170731707318</v>
      </c>
      <c r="S73" s="1">
        <f t="shared" si="28"/>
        <v>0.25</v>
      </c>
      <c r="T73" s="1">
        <f t="shared" si="29"/>
        <v>1.6760769670180495</v>
      </c>
      <c r="V73" s="1">
        <v>0.75</v>
      </c>
      <c r="W73" s="1">
        <f t="shared" si="30"/>
        <v>0.25</v>
      </c>
      <c r="X73" s="1">
        <f t="shared" si="31"/>
        <v>0.24245689655172412</v>
      </c>
      <c r="Y73" s="1">
        <f t="shared" si="32"/>
        <v>2.6939655172413791E-2</v>
      </c>
      <c r="Z73" s="1">
        <f t="shared" si="33"/>
        <v>0.29442503361134731</v>
      </c>
      <c r="AA73" s="1">
        <f t="shared" si="34"/>
        <v>0.29292116716481403</v>
      </c>
      <c r="AB73" s="1">
        <f t="shared" si="35"/>
        <v>0.49871977851857563</v>
      </c>
      <c r="AC73" s="1">
        <f t="shared" si="36"/>
        <v>0.50128022148142437</v>
      </c>
      <c r="AE73" s="15">
        <f t="shared" si="37"/>
        <v>2</v>
      </c>
      <c r="AF73" s="15">
        <f t="shared" ref="AF73:AF98" si="39">(VALUE(IF(OR(AND(AE73=2, K73="SEDANG"), AND(AE73=1, K73="TIDAK SEHAT")), 1, 0)))*1</f>
        <v>1</v>
      </c>
    </row>
    <row r="74" spans="1:32" x14ac:dyDescent="0.3">
      <c r="A74" s="7">
        <v>202210</v>
      </c>
      <c r="B74" s="8">
        <v>44856</v>
      </c>
      <c r="C74" s="7">
        <v>58</v>
      </c>
      <c r="D74" s="7">
        <v>82</v>
      </c>
      <c r="E74" s="7">
        <v>51</v>
      </c>
      <c r="F74" s="7">
        <v>19</v>
      </c>
      <c r="G74" s="7">
        <v>39</v>
      </c>
      <c r="H74" s="7">
        <v>41</v>
      </c>
      <c r="I74" s="7">
        <v>82</v>
      </c>
      <c r="J74" s="7" t="s">
        <v>19</v>
      </c>
      <c r="K74" s="7" t="s">
        <v>20</v>
      </c>
      <c r="L74" s="7" t="s">
        <v>21</v>
      </c>
      <c r="N74" s="1">
        <f t="shared" si="23"/>
        <v>0.53448275862068961</v>
      </c>
      <c r="O74" s="10">
        <f t="shared" si="24"/>
        <v>0.37142857142857144</v>
      </c>
      <c r="P74" s="1">
        <f t="shared" si="25"/>
        <v>0.5</v>
      </c>
      <c r="Q74" s="1">
        <f t="shared" si="26"/>
        <v>0.52631578947368418</v>
      </c>
      <c r="R74" s="1">
        <f t="shared" si="27"/>
        <v>0.13414634146341464</v>
      </c>
      <c r="S74" s="1">
        <f t="shared" si="28"/>
        <v>0.875</v>
      </c>
      <c r="T74" s="1">
        <f t="shared" si="29"/>
        <v>2.9413734609863598</v>
      </c>
      <c r="V74" s="1">
        <v>0.76</v>
      </c>
      <c r="W74" s="1">
        <f t="shared" si="30"/>
        <v>0.24</v>
      </c>
      <c r="X74" s="1">
        <f t="shared" si="31"/>
        <v>0.30871724137931034</v>
      </c>
      <c r="Y74" s="1">
        <f t="shared" si="32"/>
        <v>3.0786206896551722E-2</v>
      </c>
      <c r="Z74" s="1">
        <f t="shared" si="33"/>
        <v>0.12386550518688871</v>
      </c>
      <c r="AA74" s="1">
        <f t="shared" si="34"/>
        <v>0.25642505433079027</v>
      </c>
      <c r="AB74" s="1">
        <f t="shared" si="35"/>
        <v>0.67428719412865035</v>
      </c>
      <c r="AC74" s="1">
        <f t="shared" si="36"/>
        <v>0.32571280587134965</v>
      </c>
      <c r="AE74" s="15">
        <f t="shared" si="37"/>
        <v>1</v>
      </c>
      <c r="AF74" s="15">
        <f t="shared" si="39"/>
        <v>0</v>
      </c>
    </row>
    <row r="75" spans="1:32" x14ac:dyDescent="0.3">
      <c r="A75" s="7">
        <v>202210</v>
      </c>
      <c r="B75" s="8">
        <v>44855</v>
      </c>
      <c r="C75" s="7">
        <v>52</v>
      </c>
      <c r="D75" s="7">
        <v>67</v>
      </c>
      <c r="E75" s="7">
        <v>50</v>
      </c>
      <c r="F75" s="7">
        <v>16</v>
      </c>
      <c r="G75" s="7">
        <v>31</v>
      </c>
      <c r="H75" s="7">
        <v>27</v>
      </c>
      <c r="I75" s="7">
        <v>67</v>
      </c>
      <c r="J75" s="7" t="s">
        <v>19</v>
      </c>
      <c r="K75" s="7" t="s">
        <v>20</v>
      </c>
      <c r="L75" s="7" t="s">
        <v>21</v>
      </c>
      <c r="N75" s="1">
        <f t="shared" si="23"/>
        <v>0.43103448275862066</v>
      </c>
      <c r="O75" s="10">
        <f t="shared" si="24"/>
        <v>0.22857142857142856</v>
      </c>
      <c r="P75" s="1">
        <f t="shared" si="25"/>
        <v>0.41666666666666669</v>
      </c>
      <c r="Q75" s="1">
        <f t="shared" si="26"/>
        <v>0.36842105263157893</v>
      </c>
      <c r="R75" s="1">
        <f t="shared" si="27"/>
        <v>8.5365853658536592E-2</v>
      </c>
      <c r="S75" s="1">
        <f t="shared" si="28"/>
        <v>0.4375</v>
      </c>
      <c r="T75" s="1">
        <f t="shared" si="29"/>
        <v>1.9675594842868316</v>
      </c>
      <c r="V75" s="1">
        <v>0.77</v>
      </c>
      <c r="W75" s="1">
        <f t="shared" si="30"/>
        <v>0.22999999999999998</v>
      </c>
      <c r="X75" s="1">
        <f t="shared" si="31"/>
        <v>0.25556034482758616</v>
      </c>
      <c r="Y75" s="1">
        <f t="shared" si="32"/>
        <v>2.2801724137931027E-2</v>
      </c>
      <c r="Z75" s="1">
        <f t="shared" si="33"/>
        <v>0.10649684129256078</v>
      </c>
      <c r="AA75" s="1">
        <f t="shared" si="34"/>
        <v>0.17049750951895964</v>
      </c>
      <c r="AB75" s="1">
        <f t="shared" si="35"/>
        <v>0.61552702796806824</v>
      </c>
      <c r="AC75" s="1">
        <f t="shared" si="36"/>
        <v>0.38447297203193176</v>
      </c>
      <c r="AE75" s="15">
        <f t="shared" si="37"/>
        <v>1</v>
      </c>
      <c r="AF75" s="15">
        <f t="shared" si="39"/>
        <v>0</v>
      </c>
    </row>
    <row r="76" spans="1:32" x14ac:dyDescent="0.3">
      <c r="A76" s="7">
        <v>202210</v>
      </c>
      <c r="B76" s="8">
        <v>44854</v>
      </c>
      <c r="C76" s="7">
        <v>67</v>
      </c>
      <c r="D76" s="7">
        <v>88</v>
      </c>
      <c r="E76" s="7">
        <v>51</v>
      </c>
      <c r="F76" s="7">
        <v>28</v>
      </c>
      <c r="G76" s="7">
        <v>47</v>
      </c>
      <c r="H76" s="7">
        <v>45</v>
      </c>
      <c r="I76" s="7">
        <v>88</v>
      </c>
      <c r="J76" s="7" t="s">
        <v>19</v>
      </c>
      <c r="K76" s="7" t="s">
        <v>20</v>
      </c>
      <c r="L76" s="7" t="s">
        <v>21</v>
      </c>
      <c r="N76" s="1">
        <f t="shared" si="23"/>
        <v>0.68965517241379315</v>
      </c>
      <c r="O76" s="10">
        <f t="shared" si="24"/>
        <v>0.42857142857142855</v>
      </c>
      <c r="P76" s="1">
        <f t="shared" si="25"/>
        <v>0.5</v>
      </c>
      <c r="Q76" s="1">
        <f t="shared" si="26"/>
        <v>1</v>
      </c>
      <c r="R76" s="1">
        <f t="shared" si="27"/>
        <v>0.18292682926829268</v>
      </c>
      <c r="S76" s="1">
        <f t="shared" si="28"/>
        <v>1</v>
      </c>
      <c r="T76" s="1">
        <f t="shared" si="29"/>
        <v>3.8011534302535144</v>
      </c>
      <c r="V76" s="1">
        <v>0.78</v>
      </c>
      <c r="W76" s="1">
        <f t="shared" si="30"/>
        <v>0.21999999999999997</v>
      </c>
      <c r="X76" s="1">
        <f t="shared" si="31"/>
        <v>0.41958620689655179</v>
      </c>
      <c r="Y76" s="1">
        <f t="shared" si="32"/>
        <v>3.3379310344827585E-2</v>
      </c>
      <c r="Z76" s="1">
        <f t="shared" si="33"/>
        <v>0.50739854847565391</v>
      </c>
      <c r="AA76" s="1">
        <f t="shared" si="34"/>
        <v>0.65811858841421111</v>
      </c>
      <c r="AB76" s="1">
        <f t="shared" si="35"/>
        <v>0.56465801109572167</v>
      </c>
      <c r="AC76" s="1">
        <f t="shared" si="36"/>
        <v>0.43534198890427833</v>
      </c>
      <c r="AE76" s="15">
        <f t="shared" si="37"/>
        <v>1</v>
      </c>
      <c r="AF76" s="15">
        <f t="shared" si="39"/>
        <v>0</v>
      </c>
    </row>
    <row r="77" spans="1:32" x14ac:dyDescent="0.3">
      <c r="A77" s="7">
        <v>202210</v>
      </c>
      <c r="B77" s="8">
        <v>44853</v>
      </c>
      <c r="C77" s="7">
        <v>64</v>
      </c>
      <c r="D77" s="7">
        <v>92</v>
      </c>
      <c r="E77" s="7">
        <v>51</v>
      </c>
      <c r="F77" s="7">
        <v>22</v>
      </c>
      <c r="G77" s="7">
        <v>42</v>
      </c>
      <c r="H77" s="7">
        <v>44</v>
      </c>
      <c r="I77" s="7">
        <v>92</v>
      </c>
      <c r="J77" s="7" t="s">
        <v>19</v>
      </c>
      <c r="K77" s="7" t="s">
        <v>20</v>
      </c>
      <c r="L77" s="7" t="s">
        <v>21</v>
      </c>
      <c r="N77" s="1">
        <f t="shared" si="23"/>
        <v>0.63793103448275867</v>
      </c>
      <c r="O77" s="10">
        <f t="shared" si="24"/>
        <v>0.46666666666666667</v>
      </c>
      <c r="P77" s="1">
        <f t="shared" si="25"/>
        <v>0.5</v>
      </c>
      <c r="Q77" s="1">
        <f t="shared" si="26"/>
        <v>0.68421052631578949</v>
      </c>
      <c r="R77" s="1">
        <f t="shared" si="27"/>
        <v>0.1524390243902439</v>
      </c>
      <c r="S77" s="1">
        <f t="shared" si="28"/>
        <v>0.96875</v>
      </c>
      <c r="T77" s="1">
        <f t="shared" si="29"/>
        <v>3.4099972518554584</v>
      </c>
      <c r="V77" s="1">
        <v>0.79</v>
      </c>
      <c r="W77" s="1">
        <f t="shared" si="30"/>
        <v>0.20999999999999996</v>
      </c>
      <c r="X77" s="1">
        <f t="shared" si="31"/>
        <v>0.39813275862068975</v>
      </c>
      <c r="Y77" s="1">
        <f t="shared" si="32"/>
        <v>2.813275862068965E-2</v>
      </c>
      <c r="Z77" s="1">
        <f t="shared" si="33"/>
        <v>0.23236301336080997</v>
      </c>
      <c r="AA77" s="1">
        <f t="shared" si="34"/>
        <v>0.3666511531351091</v>
      </c>
      <c r="AB77" s="1">
        <f t="shared" si="35"/>
        <v>0.61209095484323073</v>
      </c>
      <c r="AC77" s="1">
        <f t="shared" si="36"/>
        <v>0.38790904515676927</v>
      </c>
      <c r="AE77" s="15">
        <f t="shared" si="37"/>
        <v>1</v>
      </c>
      <c r="AF77" s="15">
        <f t="shared" si="39"/>
        <v>0</v>
      </c>
    </row>
    <row r="78" spans="1:32" x14ac:dyDescent="0.3">
      <c r="A78" s="7">
        <v>202210</v>
      </c>
      <c r="B78" s="8">
        <v>44852</v>
      </c>
      <c r="C78" s="7">
        <v>59</v>
      </c>
      <c r="D78" s="7">
        <v>79</v>
      </c>
      <c r="E78" s="7">
        <v>50</v>
      </c>
      <c r="F78" s="7">
        <v>16</v>
      </c>
      <c r="G78" s="7">
        <v>45</v>
      </c>
      <c r="H78" s="7">
        <v>35</v>
      </c>
      <c r="I78" s="7">
        <v>79</v>
      </c>
      <c r="J78" s="7" t="s">
        <v>19</v>
      </c>
      <c r="K78" s="7" t="s">
        <v>20</v>
      </c>
      <c r="L78" s="7" t="s">
        <v>26</v>
      </c>
      <c r="N78" s="1">
        <f t="shared" si="23"/>
        <v>0.55172413793103448</v>
      </c>
      <c r="O78" s="10">
        <f t="shared" si="24"/>
        <v>0.34285714285714286</v>
      </c>
      <c r="P78" s="1">
        <f t="shared" si="25"/>
        <v>0.41666666666666669</v>
      </c>
      <c r="Q78" s="1">
        <f t="shared" si="26"/>
        <v>0.36842105263157893</v>
      </c>
      <c r="R78" s="1">
        <f t="shared" si="27"/>
        <v>0.17073170731707318</v>
      </c>
      <c r="S78" s="1">
        <f t="shared" si="28"/>
        <v>0.6875</v>
      </c>
      <c r="T78" s="1">
        <f t="shared" si="29"/>
        <v>2.5379007074034963</v>
      </c>
      <c r="V78" s="1">
        <v>0.8</v>
      </c>
      <c r="W78" s="1">
        <f t="shared" si="30"/>
        <v>0.19999999999999996</v>
      </c>
      <c r="X78" s="1">
        <f t="shared" si="31"/>
        <v>0.35310344827586215</v>
      </c>
      <c r="Y78" s="1">
        <f t="shared" si="32"/>
        <v>2.2068965517241367E-2</v>
      </c>
      <c r="Z78" s="1">
        <f t="shared" si="33"/>
        <v>4.3841653673064349E-2</v>
      </c>
      <c r="AA78" s="1">
        <f t="shared" si="34"/>
        <v>0.11469094774837638</v>
      </c>
      <c r="AB78" s="1">
        <f t="shared" si="35"/>
        <v>0.72345338889307476</v>
      </c>
      <c r="AC78" s="1">
        <f t="shared" si="36"/>
        <v>0.27654661110692524</v>
      </c>
      <c r="AE78" s="15">
        <f t="shared" si="37"/>
        <v>1</v>
      </c>
      <c r="AF78" s="15">
        <f t="shared" si="39"/>
        <v>0</v>
      </c>
    </row>
    <row r="79" spans="1:32" x14ac:dyDescent="0.3">
      <c r="A79" s="7">
        <v>202210</v>
      </c>
      <c r="B79" s="8">
        <v>44851</v>
      </c>
      <c r="C79" s="7">
        <v>56</v>
      </c>
      <c r="D79" s="7">
        <v>85</v>
      </c>
      <c r="E79" s="7">
        <v>51</v>
      </c>
      <c r="F79" s="7">
        <v>13</v>
      </c>
      <c r="G79" s="7">
        <v>54</v>
      </c>
      <c r="H79" s="7">
        <v>25</v>
      </c>
      <c r="I79" s="7">
        <v>85</v>
      </c>
      <c r="J79" s="7" t="s">
        <v>19</v>
      </c>
      <c r="K79" s="7" t="s">
        <v>20</v>
      </c>
      <c r="L79" s="7" t="s">
        <v>21</v>
      </c>
      <c r="N79" s="1">
        <f t="shared" si="23"/>
        <v>0.5</v>
      </c>
      <c r="O79" s="10">
        <f t="shared" si="24"/>
        <v>0.4</v>
      </c>
      <c r="P79" s="1">
        <f t="shared" si="25"/>
        <v>0.5</v>
      </c>
      <c r="Q79" s="1">
        <f t="shared" si="26"/>
        <v>0.21052631578947367</v>
      </c>
      <c r="R79" s="1">
        <f t="shared" si="27"/>
        <v>0.22560975609756098</v>
      </c>
      <c r="S79" s="1">
        <f t="shared" si="28"/>
        <v>0.375</v>
      </c>
      <c r="T79" s="1">
        <f t="shared" si="29"/>
        <v>2.2111360718870348</v>
      </c>
      <c r="V79" s="1">
        <v>0.81</v>
      </c>
      <c r="W79" s="1">
        <f t="shared" si="30"/>
        <v>0.18999999999999995</v>
      </c>
      <c r="X79" s="1">
        <f t="shared" si="31"/>
        <v>0.32805000000000006</v>
      </c>
      <c r="Y79" s="1">
        <f t="shared" si="32"/>
        <v>1.804999999999999E-2</v>
      </c>
      <c r="Z79" s="1">
        <f t="shared" si="33"/>
        <v>0.10496687413071612</v>
      </c>
      <c r="AA79" s="1">
        <f t="shared" si="34"/>
        <v>9.5782974617176705E-2</v>
      </c>
      <c r="AB79" s="1">
        <f t="shared" si="35"/>
        <v>0.47712601137480104</v>
      </c>
      <c r="AC79" s="1">
        <f t="shared" si="36"/>
        <v>0.52287398862519896</v>
      </c>
      <c r="AE79" s="15">
        <f t="shared" si="37"/>
        <v>2</v>
      </c>
      <c r="AF79" s="15">
        <f t="shared" si="39"/>
        <v>1</v>
      </c>
    </row>
    <row r="80" spans="1:32" x14ac:dyDescent="0.3">
      <c r="A80" s="7">
        <v>202210</v>
      </c>
      <c r="B80" s="8">
        <v>44850</v>
      </c>
      <c r="C80" s="7">
        <v>62</v>
      </c>
      <c r="D80" s="7">
        <v>93</v>
      </c>
      <c r="E80" s="7">
        <v>51</v>
      </c>
      <c r="F80" s="7">
        <v>19</v>
      </c>
      <c r="G80" s="7">
        <v>52</v>
      </c>
      <c r="H80" s="7">
        <v>36</v>
      </c>
      <c r="I80" s="7">
        <v>93</v>
      </c>
      <c r="J80" s="7" t="s">
        <v>19</v>
      </c>
      <c r="K80" s="7" t="s">
        <v>20</v>
      </c>
      <c r="L80" s="7" t="s">
        <v>21</v>
      </c>
      <c r="N80" s="1">
        <f t="shared" si="23"/>
        <v>0.60344827586206895</v>
      </c>
      <c r="O80" s="10">
        <f t="shared" si="24"/>
        <v>0.47619047619047616</v>
      </c>
      <c r="P80" s="1">
        <f t="shared" si="25"/>
        <v>0.5</v>
      </c>
      <c r="Q80" s="1">
        <f t="shared" si="26"/>
        <v>0.52631578947368418</v>
      </c>
      <c r="R80" s="1">
        <f t="shared" si="27"/>
        <v>0.21341463414634146</v>
      </c>
      <c r="S80" s="1">
        <f t="shared" si="28"/>
        <v>0.71875</v>
      </c>
      <c r="T80" s="1">
        <f t="shared" si="29"/>
        <v>3.0381191756725707</v>
      </c>
      <c r="V80" s="1">
        <v>0.82</v>
      </c>
      <c r="W80" s="1">
        <f t="shared" si="30"/>
        <v>0.18000000000000005</v>
      </c>
      <c r="X80" s="1">
        <f t="shared" si="31"/>
        <v>0.40575862068965507</v>
      </c>
      <c r="Y80" s="1">
        <f t="shared" si="32"/>
        <v>1.9551724137931045E-2</v>
      </c>
      <c r="Z80" s="1">
        <f t="shared" si="33"/>
        <v>3.6166573793408499E-2</v>
      </c>
      <c r="AA80" s="1">
        <f t="shared" si="34"/>
        <v>9.9033391718090252E-2</v>
      </c>
      <c r="AB80" s="1">
        <f t="shared" si="35"/>
        <v>0.73249568772757911</v>
      </c>
      <c r="AC80" s="1">
        <f t="shared" si="36"/>
        <v>0.26750431227242089</v>
      </c>
      <c r="AE80" s="15">
        <f t="shared" si="37"/>
        <v>1</v>
      </c>
      <c r="AF80" s="15">
        <f t="shared" si="39"/>
        <v>0</v>
      </c>
    </row>
    <row r="81" spans="1:35" x14ac:dyDescent="0.3">
      <c r="A81" s="7">
        <v>202210</v>
      </c>
      <c r="B81" s="8">
        <v>44849</v>
      </c>
      <c r="C81" s="7">
        <v>55</v>
      </c>
      <c r="D81" s="7">
        <v>78</v>
      </c>
      <c r="E81" s="7">
        <v>51</v>
      </c>
      <c r="F81" s="7">
        <v>13</v>
      </c>
      <c r="G81" s="7">
        <v>58</v>
      </c>
      <c r="H81" s="7">
        <v>27</v>
      </c>
      <c r="I81" s="7">
        <v>78</v>
      </c>
      <c r="J81" s="7" t="s">
        <v>19</v>
      </c>
      <c r="K81" s="7" t="s">
        <v>20</v>
      </c>
      <c r="L81" s="7" t="s">
        <v>21</v>
      </c>
      <c r="N81" s="1">
        <f t="shared" si="23"/>
        <v>0.48275862068965519</v>
      </c>
      <c r="O81" s="10">
        <f t="shared" si="24"/>
        <v>0.33333333333333331</v>
      </c>
      <c r="P81" s="1">
        <f t="shared" si="25"/>
        <v>0.5</v>
      </c>
      <c r="Q81" s="1">
        <f t="shared" si="26"/>
        <v>0.21052631578947367</v>
      </c>
      <c r="R81" s="1">
        <f t="shared" si="27"/>
        <v>0.25</v>
      </c>
      <c r="S81" s="1">
        <f t="shared" si="28"/>
        <v>0.4375</v>
      </c>
      <c r="T81" s="1">
        <f t="shared" si="29"/>
        <v>2.2141182698124622</v>
      </c>
      <c r="V81" s="1">
        <v>0.83</v>
      </c>
      <c r="W81" s="1">
        <f t="shared" si="30"/>
        <v>0.17000000000000004</v>
      </c>
      <c r="X81" s="1">
        <f t="shared" si="31"/>
        <v>0.33257241379310343</v>
      </c>
      <c r="Y81" s="1">
        <f t="shared" si="32"/>
        <v>1.395172413793104E-2</v>
      </c>
      <c r="Z81" s="1">
        <f t="shared" si="33"/>
        <v>0.10418492140770516</v>
      </c>
      <c r="AA81" s="1">
        <f t="shared" si="34"/>
        <v>0.11246440485667203</v>
      </c>
      <c r="AB81" s="1">
        <f t="shared" si="35"/>
        <v>0.51910802953262691</v>
      </c>
      <c r="AC81" s="1">
        <f t="shared" si="36"/>
        <v>0.48089197046737309</v>
      </c>
      <c r="AE81" s="15">
        <f t="shared" si="37"/>
        <v>1</v>
      </c>
      <c r="AF81" s="15">
        <f t="shared" si="39"/>
        <v>0</v>
      </c>
    </row>
    <row r="82" spans="1:35" x14ac:dyDescent="0.3">
      <c r="A82" s="7">
        <v>202210</v>
      </c>
      <c r="B82" s="8">
        <v>44848</v>
      </c>
      <c r="C82" s="7">
        <v>67</v>
      </c>
      <c r="D82" s="7">
        <v>94</v>
      </c>
      <c r="E82" s="7">
        <v>50</v>
      </c>
      <c r="F82" s="7">
        <v>28</v>
      </c>
      <c r="G82" s="7">
        <v>47</v>
      </c>
      <c r="H82" s="7">
        <v>45</v>
      </c>
      <c r="I82" s="7">
        <v>94</v>
      </c>
      <c r="J82" s="7" t="s">
        <v>19</v>
      </c>
      <c r="K82" s="7" t="s">
        <v>20</v>
      </c>
      <c r="L82" s="7" t="s">
        <v>21</v>
      </c>
      <c r="N82" s="1">
        <f t="shared" si="23"/>
        <v>0.68965517241379315</v>
      </c>
      <c r="O82" s="10">
        <f t="shared" si="24"/>
        <v>0.48571428571428571</v>
      </c>
      <c r="P82" s="1">
        <f t="shared" si="25"/>
        <v>0.41666666666666669</v>
      </c>
      <c r="Q82" s="1">
        <f t="shared" si="26"/>
        <v>1</v>
      </c>
      <c r="R82" s="1">
        <f t="shared" si="27"/>
        <v>0.18292682926829268</v>
      </c>
      <c r="S82" s="1">
        <f t="shared" si="28"/>
        <v>1</v>
      </c>
      <c r="T82" s="1">
        <f t="shared" si="29"/>
        <v>3.7749629540630383</v>
      </c>
      <c r="V82" s="1">
        <v>0.84</v>
      </c>
      <c r="W82" s="1">
        <f t="shared" si="30"/>
        <v>0.16000000000000003</v>
      </c>
      <c r="X82" s="1">
        <f t="shared" si="31"/>
        <v>0.48662068965517236</v>
      </c>
      <c r="Y82" s="1">
        <f t="shared" si="32"/>
        <v>1.7655172413793111E-2</v>
      </c>
      <c r="Z82" s="1">
        <f t="shared" si="33"/>
        <v>0.50917736300952965</v>
      </c>
      <c r="AA82" s="1">
        <f t="shared" si="34"/>
        <v>0.6472777362540979</v>
      </c>
      <c r="AB82" s="1">
        <f t="shared" si="35"/>
        <v>0.5597084890422912</v>
      </c>
      <c r="AC82" s="1">
        <f t="shared" si="36"/>
        <v>0.4402915109577088</v>
      </c>
      <c r="AE82" s="15">
        <f t="shared" si="37"/>
        <v>1</v>
      </c>
      <c r="AF82" s="15">
        <f t="shared" si="39"/>
        <v>0</v>
      </c>
    </row>
    <row r="83" spans="1:35" x14ac:dyDescent="0.3">
      <c r="A83" s="7">
        <v>202210</v>
      </c>
      <c r="B83" s="8">
        <v>44847</v>
      </c>
      <c r="C83" s="7">
        <v>63</v>
      </c>
      <c r="D83" s="7">
        <v>91</v>
      </c>
      <c r="E83" s="7">
        <v>52</v>
      </c>
      <c r="F83" s="7">
        <v>17</v>
      </c>
      <c r="G83" s="7">
        <v>54</v>
      </c>
      <c r="H83" s="7">
        <v>36</v>
      </c>
      <c r="I83" s="7">
        <v>91</v>
      </c>
      <c r="J83" s="7" t="s">
        <v>19</v>
      </c>
      <c r="K83" s="7" t="s">
        <v>20</v>
      </c>
      <c r="L83" s="7" t="s">
        <v>21</v>
      </c>
      <c r="N83" s="1">
        <f t="shared" si="23"/>
        <v>0.62068965517241381</v>
      </c>
      <c r="O83" s="10">
        <f t="shared" si="24"/>
        <v>0.45714285714285713</v>
      </c>
      <c r="P83" s="1">
        <f t="shared" si="25"/>
        <v>0.58333333333333337</v>
      </c>
      <c r="Q83" s="1">
        <f t="shared" si="26"/>
        <v>0.42105263157894735</v>
      </c>
      <c r="R83" s="1">
        <f t="shared" si="27"/>
        <v>0.22560975609756098</v>
      </c>
      <c r="S83" s="1">
        <f t="shared" si="28"/>
        <v>0.71875</v>
      </c>
      <c r="T83" s="1">
        <f t="shared" si="29"/>
        <v>3.0265782333251128</v>
      </c>
      <c r="V83" s="1">
        <v>0.85</v>
      </c>
      <c r="W83" s="1">
        <f t="shared" si="30"/>
        <v>0.15000000000000002</v>
      </c>
      <c r="X83" s="1">
        <f t="shared" si="31"/>
        <v>0.44844827586206892</v>
      </c>
      <c r="Y83" s="1">
        <f t="shared" si="32"/>
        <v>1.3965517241379314E-2</v>
      </c>
      <c r="Z83" s="1">
        <f t="shared" si="33"/>
        <v>4.7673594461847872E-2</v>
      </c>
      <c r="AA83" s="1">
        <f t="shared" si="34"/>
        <v>0.10805480714144955</v>
      </c>
      <c r="AB83" s="1">
        <f t="shared" si="35"/>
        <v>0.69386705333756904</v>
      </c>
      <c r="AC83" s="1">
        <f t="shared" si="36"/>
        <v>0.30613294666243096</v>
      </c>
      <c r="AE83" s="15">
        <f t="shared" si="37"/>
        <v>1</v>
      </c>
      <c r="AF83" s="15">
        <f t="shared" si="39"/>
        <v>0</v>
      </c>
    </row>
    <row r="84" spans="1:35" x14ac:dyDescent="0.3">
      <c r="A84" s="7">
        <v>202210</v>
      </c>
      <c r="B84" s="8">
        <v>44846</v>
      </c>
      <c r="C84" s="7">
        <v>70</v>
      </c>
      <c r="D84" s="7">
        <v>97</v>
      </c>
      <c r="E84" s="7">
        <v>54</v>
      </c>
      <c r="F84" s="7">
        <v>27</v>
      </c>
      <c r="G84" s="7">
        <v>44</v>
      </c>
      <c r="H84" s="7">
        <v>42</v>
      </c>
      <c r="I84" s="7">
        <v>97</v>
      </c>
      <c r="J84" s="7" t="s">
        <v>19</v>
      </c>
      <c r="K84" s="7" t="s">
        <v>20</v>
      </c>
      <c r="L84" s="7" t="s">
        <v>21</v>
      </c>
      <c r="N84" s="1">
        <f t="shared" si="23"/>
        <v>0.74137931034482762</v>
      </c>
      <c r="O84" s="10">
        <f t="shared" si="24"/>
        <v>0.51428571428571423</v>
      </c>
      <c r="P84" s="1">
        <f t="shared" si="25"/>
        <v>0.75</v>
      </c>
      <c r="Q84" s="1">
        <f t="shared" si="26"/>
        <v>0.94736842105263153</v>
      </c>
      <c r="R84" s="1">
        <f t="shared" si="27"/>
        <v>0.16463414634146342</v>
      </c>
      <c r="S84" s="1">
        <f t="shared" si="28"/>
        <v>0.90625</v>
      </c>
      <c r="T84" s="1">
        <f t="shared" si="29"/>
        <v>4.0239175920246364</v>
      </c>
      <c r="V84" s="1">
        <v>0.86</v>
      </c>
      <c r="W84" s="1">
        <f t="shared" si="30"/>
        <v>0.14000000000000001</v>
      </c>
      <c r="X84" s="1">
        <f t="shared" si="31"/>
        <v>0.54832413793103441</v>
      </c>
      <c r="Y84" s="1">
        <f t="shared" si="32"/>
        <v>1.4531034482758623E-2</v>
      </c>
      <c r="Z84" s="1">
        <f t="shared" si="33"/>
        <v>0.47488173524497135</v>
      </c>
      <c r="AA84" s="1">
        <f t="shared" si="34"/>
        <v>0.60977659650821547</v>
      </c>
      <c r="AB84" s="1">
        <f t="shared" si="35"/>
        <v>0.56218311209816962</v>
      </c>
      <c r="AC84" s="1">
        <f t="shared" si="36"/>
        <v>0.43781688790183038</v>
      </c>
      <c r="AE84" s="15">
        <f t="shared" si="37"/>
        <v>1</v>
      </c>
      <c r="AF84" s="15">
        <f t="shared" si="39"/>
        <v>0</v>
      </c>
    </row>
    <row r="85" spans="1:35" ht="27.6" x14ac:dyDescent="0.3">
      <c r="A85" s="7">
        <v>202210</v>
      </c>
      <c r="B85" s="8">
        <v>44845</v>
      </c>
      <c r="C85" s="7">
        <v>77</v>
      </c>
      <c r="D85" s="7">
        <v>126</v>
      </c>
      <c r="E85" s="7">
        <v>51</v>
      </c>
      <c r="F85" s="7">
        <v>23</v>
      </c>
      <c r="G85" s="7">
        <v>59</v>
      </c>
      <c r="H85" s="7">
        <v>45</v>
      </c>
      <c r="I85" s="7">
        <v>126</v>
      </c>
      <c r="J85" s="7" t="s">
        <v>19</v>
      </c>
      <c r="K85" s="7" t="s">
        <v>22</v>
      </c>
      <c r="L85" s="7" t="s">
        <v>21</v>
      </c>
      <c r="N85" s="1">
        <f t="shared" si="23"/>
        <v>0.86206896551724133</v>
      </c>
      <c r="O85" s="10">
        <f t="shared" si="24"/>
        <v>0.79047619047619044</v>
      </c>
      <c r="P85" s="1">
        <f t="shared" si="25"/>
        <v>0.5</v>
      </c>
      <c r="Q85" s="1">
        <f t="shared" si="26"/>
        <v>0.73684210526315785</v>
      </c>
      <c r="R85" s="1">
        <f t="shared" si="27"/>
        <v>0.25609756097560976</v>
      </c>
      <c r="S85" s="1">
        <f t="shared" si="28"/>
        <v>1</v>
      </c>
      <c r="T85" s="1">
        <f t="shared" si="29"/>
        <v>4.1454848222321994</v>
      </c>
      <c r="V85" s="1">
        <v>0.87</v>
      </c>
      <c r="W85" s="1">
        <f t="shared" si="30"/>
        <v>0.13</v>
      </c>
      <c r="X85" s="1">
        <f t="shared" si="31"/>
        <v>0.65249999999999997</v>
      </c>
      <c r="Y85" s="1">
        <f t="shared" si="32"/>
        <v>1.456896551724138E-2</v>
      </c>
      <c r="Z85" s="1">
        <f t="shared" si="33"/>
        <v>0.47910596344726497</v>
      </c>
      <c r="AA85" s="1">
        <f t="shared" si="34"/>
        <v>0.53756608718784493</v>
      </c>
      <c r="AB85" s="1">
        <f t="shared" si="35"/>
        <v>0.52875072827273073</v>
      </c>
      <c r="AC85" s="1">
        <f t="shared" si="36"/>
        <v>0.47124927172726927</v>
      </c>
      <c r="AE85" s="15">
        <f t="shared" si="37"/>
        <v>1</v>
      </c>
      <c r="AF85" s="15">
        <f t="shared" si="39"/>
        <v>1</v>
      </c>
    </row>
    <row r="86" spans="1:35" x14ac:dyDescent="0.3">
      <c r="A86" s="7">
        <v>202210</v>
      </c>
      <c r="B86" s="8">
        <v>44844</v>
      </c>
      <c r="C86" s="7">
        <v>54</v>
      </c>
      <c r="D86" s="7">
        <v>74</v>
      </c>
      <c r="E86" s="7">
        <v>50</v>
      </c>
      <c r="F86" s="7">
        <v>14</v>
      </c>
      <c r="G86" s="7">
        <v>38</v>
      </c>
      <c r="H86" s="7">
        <v>25</v>
      </c>
      <c r="I86" s="7">
        <v>74</v>
      </c>
      <c r="J86" s="7" t="s">
        <v>19</v>
      </c>
      <c r="K86" s="7" t="s">
        <v>20</v>
      </c>
      <c r="L86" s="7" t="s">
        <v>21</v>
      </c>
      <c r="N86" s="1">
        <f t="shared" si="23"/>
        <v>0.46551724137931033</v>
      </c>
      <c r="O86" s="10">
        <f t="shared" si="24"/>
        <v>0.29523809523809524</v>
      </c>
      <c r="P86" s="1">
        <f t="shared" si="25"/>
        <v>0.41666666666666669</v>
      </c>
      <c r="Q86" s="1">
        <f t="shared" si="26"/>
        <v>0.26315789473684209</v>
      </c>
      <c r="R86" s="1">
        <f t="shared" si="27"/>
        <v>0.12804878048780488</v>
      </c>
      <c r="S86" s="1">
        <f t="shared" si="28"/>
        <v>0.375</v>
      </c>
      <c r="T86" s="1">
        <f t="shared" si="29"/>
        <v>1.9436286785087193</v>
      </c>
      <c r="V86" s="1">
        <v>0.89</v>
      </c>
      <c r="W86" s="1">
        <f t="shared" si="30"/>
        <v>0.10999999999999999</v>
      </c>
      <c r="X86" s="1">
        <f t="shared" si="31"/>
        <v>0.36873620689655173</v>
      </c>
      <c r="Y86" s="1">
        <f t="shared" si="32"/>
        <v>5.632758620689654E-3</v>
      </c>
      <c r="Z86" s="1">
        <f t="shared" si="33"/>
        <v>0.11350620455665864</v>
      </c>
      <c r="AA86" s="1">
        <f t="shared" si="34"/>
        <v>0.1375391260946347</v>
      </c>
      <c r="AB86" s="1">
        <f t="shared" si="35"/>
        <v>0.54786570113777222</v>
      </c>
      <c r="AC86" s="1">
        <f t="shared" si="36"/>
        <v>0.45213429886222778</v>
      </c>
      <c r="AE86" s="15">
        <f t="shared" si="37"/>
        <v>1</v>
      </c>
      <c r="AF86" s="15">
        <f t="shared" si="39"/>
        <v>0</v>
      </c>
    </row>
    <row r="87" spans="1:35" x14ac:dyDescent="0.3">
      <c r="A87" s="7">
        <v>202210</v>
      </c>
      <c r="B87" s="8">
        <v>44843</v>
      </c>
      <c r="C87" s="7">
        <v>58</v>
      </c>
      <c r="D87" s="7">
        <v>95</v>
      </c>
      <c r="E87" s="7">
        <v>50</v>
      </c>
      <c r="F87" s="7">
        <v>24</v>
      </c>
      <c r="G87" s="7">
        <v>39</v>
      </c>
      <c r="H87" s="7">
        <v>35</v>
      </c>
      <c r="I87" s="7">
        <v>95</v>
      </c>
      <c r="J87" s="7" t="s">
        <v>19</v>
      </c>
      <c r="K87" s="7" t="s">
        <v>20</v>
      </c>
      <c r="L87" s="7" t="s">
        <v>21</v>
      </c>
      <c r="N87" s="1">
        <f t="shared" si="23"/>
        <v>0.53448275862068961</v>
      </c>
      <c r="O87" s="10">
        <f t="shared" si="24"/>
        <v>0.49523809523809526</v>
      </c>
      <c r="P87" s="1">
        <f t="shared" si="25"/>
        <v>0.41666666666666669</v>
      </c>
      <c r="Q87" s="1">
        <f t="shared" si="26"/>
        <v>0.78947368421052633</v>
      </c>
      <c r="R87" s="1">
        <f t="shared" si="27"/>
        <v>0.13414634146341464</v>
      </c>
      <c r="S87" s="1">
        <f t="shared" si="28"/>
        <v>0.6875</v>
      </c>
      <c r="T87" s="1">
        <f t="shared" si="29"/>
        <v>3.0575075461993926</v>
      </c>
      <c r="V87" s="1">
        <v>0.9</v>
      </c>
      <c r="W87" s="1">
        <f t="shared" si="30"/>
        <v>9.9999999999999978E-2</v>
      </c>
      <c r="X87" s="1">
        <f t="shared" si="31"/>
        <v>0.4329310344827586</v>
      </c>
      <c r="Y87" s="1">
        <f t="shared" si="32"/>
        <v>5.3448275862068937E-3</v>
      </c>
      <c r="Z87" s="1">
        <f t="shared" ref="Z87" si="40">(N87-$N$102)^2+(O87-$O$102)^2+(P87-$P$102)^2+(Q87-$Q$102)^2+(R87-$R$102)^2+(S87-$S$102)^2</f>
        <v>0.13592642026653706</v>
      </c>
      <c r="AA87" s="1">
        <f t="shared" si="34"/>
        <v>0.22460636241996934</v>
      </c>
      <c r="AB87" s="1">
        <f t="shared" si="35"/>
        <v>0.62298457506781302</v>
      </c>
      <c r="AC87" s="1">
        <f t="shared" si="36"/>
        <v>0.37701542493218698</v>
      </c>
      <c r="AE87" s="15">
        <f t="shared" si="37"/>
        <v>1</v>
      </c>
      <c r="AF87" s="15">
        <f t="shared" si="39"/>
        <v>0</v>
      </c>
    </row>
    <row r="88" spans="1:35" x14ac:dyDescent="0.3">
      <c r="A88" s="7">
        <v>202210</v>
      </c>
      <c r="B88" s="8">
        <v>44842</v>
      </c>
      <c r="C88" s="7">
        <v>35</v>
      </c>
      <c r="D88" s="7">
        <v>61</v>
      </c>
      <c r="E88" s="7">
        <v>50</v>
      </c>
      <c r="F88" s="7">
        <v>17</v>
      </c>
      <c r="G88" s="7">
        <v>28</v>
      </c>
      <c r="H88" s="7">
        <v>25</v>
      </c>
      <c r="I88" s="7">
        <v>61</v>
      </c>
      <c r="J88" s="7" t="s">
        <v>19</v>
      </c>
      <c r="K88" s="7" t="s">
        <v>20</v>
      </c>
      <c r="L88" s="7" t="s">
        <v>24</v>
      </c>
      <c r="N88" s="1">
        <f t="shared" si="23"/>
        <v>0.13793103448275862</v>
      </c>
      <c r="O88" s="10">
        <f t="shared" si="24"/>
        <v>0.17142857142857143</v>
      </c>
      <c r="P88" s="1">
        <f t="shared" si="25"/>
        <v>0.41666666666666669</v>
      </c>
      <c r="Q88" s="1">
        <f t="shared" si="26"/>
        <v>0.42105263157894735</v>
      </c>
      <c r="R88" s="1">
        <f t="shared" si="27"/>
        <v>6.7073170731707321E-2</v>
      </c>
      <c r="S88" s="1">
        <f t="shared" si="28"/>
        <v>0.375</v>
      </c>
      <c r="T88" s="1">
        <f t="shared" si="29"/>
        <v>1.5891520748886514</v>
      </c>
      <c r="V88" s="1">
        <v>0.91</v>
      </c>
      <c r="W88" s="1">
        <f t="shared" si="30"/>
        <v>8.9999999999999969E-2</v>
      </c>
      <c r="X88" s="1">
        <f t="shared" si="31"/>
        <v>0.11422068965517242</v>
      </c>
      <c r="Y88" s="1">
        <f t="shared" si="32"/>
        <v>1.1172413793103441E-3</v>
      </c>
      <c r="Z88" s="1">
        <f t="shared" si="33"/>
        <v>0.32349406582228279</v>
      </c>
      <c r="AA88" s="1">
        <f t="shared" si="34"/>
        <v>0.42411789973355429</v>
      </c>
      <c r="AB88" s="1">
        <f t="shared" si="35"/>
        <v>0.56729683214504156</v>
      </c>
      <c r="AC88" s="1">
        <f t="shared" si="36"/>
        <v>0.43270316785495844</v>
      </c>
      <c r="AE88" s="15">
        <f t="shared" si="37"/>
        <v>1</v>
      </c>
      <c r="AF88" s="15">
        <f t="shared" si="39"/>
        <v>0</v>
      </c>
    </row>
    <row r="89" spans="1:35" x14ac:dyDescent="0.3">
      <c r="A89" s="7">
        <v>202210</v>
      </c>
      <c r="B89" s="8">
        <v>44841</v>
      </c>
      <c r="C89" s="7">
        <v>51</v>
      </c>
      <c r="D89" s="7">
        <v>66</v>
      </c>
      <c r="E89" s="7">
        <v>53</v>
      </c>
      <c r="F89" s="7">
        <v>17</v>
      </c>
      <c r="G89" s="7">
        <v>35</v>
      </c>
      <c r="H89" s="7">
        <v>34</v>
      </c>
      <c r="I89" s="7">
        <v>66</v>
      </c>
      <c r="J89" s="7" t="s">
        <v>19</v>
      </c>
      <c r="K89" s="7" t="s">
        <v>20</v>
      </c>
      <c r="L89" s="7" t="s">
        <v>26</v>
      </c>
      <c r="N89" s="1">
        <f t="shared" si="23"/>
        <v>0.41379310344827586</v>
      </c>
      <c r="O89" s="10">
        <f t="shared" si="24"/>
        <v>0.21904761904761905</v>
      </c>
      <c r="P89" s="1">
        <f t="shared" si="25"/>
        <v>0.66666666666666663</v>
      </c>
      <c r="Q89" s="1">
        <f t="shared" si="26"/>
        <v>0.42105263157894735</v>
      </c>
      <c r="R89" s="1">
        <f t="shared" si="27"/>
        <v>0.10975609756097561</v>
      </c>
      <c r="S89" s="1">
        <f t="shared" si="28"/>
        <v>0.65625</v>
      </c>
      <c r="T89" s="1">
        <f t="shared" si="29"/>
        <v>2.4865661183024845</v>
      </c>
      <c r="V89" s="1">
        <v>0.92</v>
      </c>
      <c r="W89" s="1">
        <f t="shared" si="30"/>
        <v>7.999999999999996E-2</v>
      </c>
      <c r="X89" s="1">
        <f t="shared" si="31"/>
        <v>0.35023448275862068</v>
      </c>
      <c r="Y89" s="1">
        <f t="shared" si="32"/>
        <v>2.6482758620689629E-3</v>
      </c>
      <c r="Z89" s="1">
        <f t="shared" si="33"/>
        <v>0.14217454627895096</v>
      </c>
      <c r="AA89" s="1">
        <f t="shared" si="34"/>
        <v>0.27222548885985121</v>
      </c>
      <c r="AB89" s="1">
        <f t="shared" si="35"/>
        <v>0.65691473401702294</v>
      </c>
      <c r="AC89" s="1">
        <f t="shared" si="36"/>
        <v>0.34308526598297706</v>
      </c>
      <c r="AE89" s="15">
        <f t="shared" si="37"/>
        <v>1</v>
      </c>
      <c r="AF89" s="15">
        <f t="shared" si="39"/>
        <v>0</v>
      </c>
    </row>
    <row r="90" spans="1:35" x14ac:dyDescent="0.3">
      <c r="A90" s="7">
        <v>202210</v>
      </c>
      <c r="B90" s="8">
        <v>44840</v>
      </c>
      <c r="C90" s="7">
        <v>61</v>
      </c>
      <c r="D90" s="7">
        <v>89</v>
      </c>
      <c r="E90" s="7">
        <v>51</v>
      </c>
      <c r="F90" s="7">
        <v>20</v>
      </c>
      <c r="G90" s="7">
        <v>39</v>
      </c>
      <c r="H90" s="7">
        <v>32</v>
      </c>
      <c r="I90" s="7">
        <v>89</v>
      </c>
      <c r="J90" s="7" t="s">
        <v>19</v>
      </c>
      <c r="K90" s="7" t="s">
        <v>20</v>
      </c>
      <c r="L90" s="7" t="s">
        <v>21</v>
      </c>
      <c r="N90" s="1">
        <f t="shared" si="23"/>
        <v>0.58620689655172409</v>
      </c>
      <c r="O90" s="10">
        <f t="shared" si="24"/>
        <v>0.43809523809523809</v>
      </c>
      <c r="P90" s="1">
        <f t="shared" si="25"/>
        <v>0.5</v>
      </c>
      <c r="Q90" s="1">
        <f t="shared" si="26"/>
        <v>0.57894736842105265</v>
      </c>
      <c r="R90" s="1">
        <f t="shared" si="27"/>
        <v>0.13414634146341464</v>
      </c>
      <c r="S90" s="1">
        <f t="shared" si="28"/>
        <v>0.59375</v>
      </c>
      <c r="T90" s="1">
        <f t="shared" si="29"/>
        <v>2.8311458445314295</v>
      </c>
      <c r="V90" s="1">
        <v>0.93</v>
      </c>
      <c r="W90" s="1">
        <f t="shared" si="30"/>
        <v>6.9999999999999951E-2</v>
      </c>
      <c r="X90" s="1">
        <f t="shared" si="31"/>
        <v>0.50701034482758622</v>
      </c>
      <c r="Y90" s="1">
        <f t="shared" si="32"/>
        <v>2.8724137931034439E-3</v>
      </c>
      <c r="Z90" s="1">
        <f t="shared" si="33"/>
        <v>2.0104535802263221E-2</v>
      </c>
      <c r="AA90" s="1">
        <f t="shared" si="34"/>
        <v>8.2904541761475353E-2</v>
      </c>
      <c r="AB90" s="1">
        <f t="shared" si="35"/>
        <v>0.80482753289560127</v>
      </c>
      <c r="AC90" s="1">
        <f t="shared" si="36"/>
        <v>0.19517246710439873</v>
      </c>
      <c r="AE90" s="15">
        <f t="shared" si="37"/>
        <v>1</v>
      </c>
      <c r="AF90" s="15">
        <f t="shared" si="39"/>
        <v>0</v>
      </c>
      <c r="AI90">
        <v>1</v>
      </c>
    </row>
    <row r="91" spans="1:35" x14ac:dyDescent="0.3">
      <c r="A91" s="7">
        <v>202210</v>
      </c>
      <c r="B91" s="8">
        <v>44839</v>
      </c>
      <c r="C91" s="7">
        <v>51</v>
      </c>
      <c r="D91" s="7">
        <v>68</v>
      </c>
      <c r="E91" s="7">
        <v>50</v>
      </c>
      <c r="F91" s="7">
        <v>22</v>
      </c>
      <c r="G91" s="7">
        <v>36</v>
      </c>
      <c r="H91" s="7">
        <v>42</v>
      </c>
      <c r="I91" s="7">
        <v>68</v>
      </c>
      <c r="J91" s="7" t="s">
        <v>19</v>
      </c>
      <c r="K91" s="7" t="s">
        <v>20</v>
      </c>
      <c r="L91" s="7" t="s">
        <v>21</v>
      </c>
      <c r="N91" s="1">
        <f t="shared" si="23"/>
        <v>0.41379310344827586</v>
      </c>
      <c r="O91" s="10">
        <f t="shared" si="24"/>
        <v>0.23809523809523808</v>
      </c>
      <c r="P91" s="1">
        <f t="shared" si="25"/>
        <v>0.41666666666666669</v>
      </c>
      <c r="Q91" s="1">
        <f t="shared" si="26"/>
        <v>0.68421052631578949</v>
      </c>
      <c r="R91" s="1">
        <f t="shared" si="27"/>
        <v>0.11585365853658537</v>
      </c>
      <c r="S91" s="1">
        <f t="shared" si="28"/>
        <v>0.90625</v>
      </c>
      <c r="T91" s="1">
        <f t="shared" si="29"/>
        <v>2.774869193062556</v>
      </c>
      <c r="V91" s="1">
        <v>0.94</v>
      </c>
      <c r="W91" s="1">
        <f t="shared" si="30"/>
        <v>6.0000000000000053E-2</v>
      </c>
      <c r="X91" s="1">
        <f t="shared" si="31"/>
        <v>0.3656275862068965</v>
      </c>
      <c r="Y91" s="1">
        <f t="shared" si="32"/>
        <v>1.4896551724137958E-3</v>
      </c>
      <c r="Z91" s="1">
        <f t="shared" si="33"/>
        <v>0.25912130631535824</v>
      </c>
      <c r="AA91" s="1">
        <f t="shared" si="34"/>
        <v>0.4347780567370203</v>
      </c>
      <c r="AB91" s="1">
        <f t="shared" si="35"/>
        <v>0.6265722090080682</v>
      </c>
      <c r="AC91" s="1">
        <f t="shared" si="36"/>
        <v>0.3734277909919318</v>
      </c>
      <c r="AE91" s="15">
        <f t="shared" si="37"/>
        <v>1</v>
      </c>
      <c r="AF91" s="15">
        <f t="shared" si="39"/>
        <v>0</v>
      </c>
    </row>
    <row r="92" spans="1:35" x14ac:dyDescent="0.3">
      <c r="A92" s="7">
        <v>202210</v>
      </c>
      <c r="B92" s="8">
        <v>44838</v>
      </c>
      <c r="C92" s="7">
        <v>67</v>
      </c>
      <c r="D92" s="7">
        <v>98</v>
      </c>
      <c r="E92" s="7">
        <v>51</v>
      </c>
      <c r="F92" s="7">
        <v>15</v>
      </c>
      <c r="G92" s="7">
        <v>40</v>
      </c>
      <c r="H92" s="7">
        <v>33</v>
      </c>
      <c r="I92" s="7">
        <v>98</v>
      </c>
      <c r="J92" s="7" t="s">
        <v>19</v>
      </c>
      <c r="K92" s="7" t="s">
        <v>20</v>
      </c>
      <c r="L92" s="7" t="s">
        <v>21</v>
      </c>
      <c r="N92" s="1">
        <f t="shared" si="23"/>
        <v>0.68965517241379315</v>
      </c>
      <c r="O92" s="10">
        <f t="shared" si="24"/>
        <v>0.52380952380952384</v>
      </c>
      <c r="P92" s="1">
        <f t="shared" si="25"/>
        <v>0.5</v>
      </c>
      <c r="Q92" s="1">
        <f t="shared" si="26"/>
        <v>0.31578947368421051</v>
      </c>
      <c r="R92" s="1">
        <f t="shared" si="27"/>
        <v>0.1402439024390244</v>
      </c>
      <c r="S92" s="1">
        <f t="shared" si="28"/>
        <v>0.625</v>
      </c>
      <c r="T92" s="1">
        <f t="shared" si="29"/>
        <v>2.7944980723465518</v>
      </c>
      <c r="V92" s="1">
        <v>0.95</v>
      </c>
      <c r="W92" s="1">
        <f t="shared" si="30"/>
        <v>5.0000000000000044E-2</v>
      </c>
      <c r="X92" s="1">
        <f t="shared" si="31"/>
        <v>0.62241379310344824</v>
      </c>
      <c r="Y92" s="1">
        <f t="shared" si="32"/>
        <v>1.724137931034486E-3</v>
      </c>
      <c r="Z92" s="1">
        <f t="shared" si="33"/>
        <v>4.7854942047480226E-2</v>
      </c>
      <c r="AA92" s="1">
        <f t="shared" si="34"/>
        <v>7.8143616850435804E-2</v>
      </c>
      <c r="AB92" s="1">
        <f t="shared" si="35"/>
        <v>0.62019452868304414</v>
      </c>
      <c r="AC92" s="1">
        <f t="shared" si="36"/>
        <v>0.37980547131695586</v>
      </c>
      <c r="AE92" s="15">
        <f t="shared" si="37"/>
        <v>1</v>
      </c>
      <c r="AF92" s="15">
        <f t="shared" si="39"/>
        <v>0</v>
      </c>
    </row>
    <row r="93" spans="1:35" x14ac:dyDescent="0.3">
      <c r="A93" s="7">
        <v>202210</v>
      </c>
      <c r="B93" s="8">
        <v>44837</v>
      </c>
      <c r="C93" s="7">
        <v>56</v>
      </c>
      <c r="D93" s="7">
        <v>76</v>
      </c>
      <c r="E93" s="7">
        <v>51</v>
      </c>
      <c r="F93" s="7">
        <v>18</v>
      </c>
      <c r="G93" s="7">
        <v>38</v>
      </c>
      <c r="H93" s="7">
        <v>35</v>
      </c>
      <c r="I93" s="7">
        <v>76</v>
      </c>
      <c r="J93" s="7" t="s">
        <v>19</v>
      </c>
      <c r="K93" s="7" t="s">
        <v>20</v>
      </c>
      <c r="L93" s="7" t="s">
        <v>24</v>
      </c>
      <c r="N93" s="1">
        <f t="shared" si="23"/>
        <v>0.5</v>
      </c>
      <c r="O93" s="10">
        <f t="shared" si="24"/>
        <v>0.31428571428571428</v>
      </c>
      <c r="P93" s="1">
        <f t="shared" si="25"/>
        <v>0.5</v>
      </c>
      <c r="Q93" s="1">
        <f t="shared" si="26"/>
        <v>0.47368421052631576</v>
      </c>
      <c r="R93" s="1">
        <f t="shared" si="27"/>
        <v>0.12804878048780488</v>
      </c>
      <c r="S93" s="1">
        <f t="shared" si="28"/>
        <v>0.6875</v>
      </c>
      <c r="T93" s="1">
        <f t="shared" si="29"/>
        <v>2.6035187052998348</v>
      </c>
      <c r="V93" s="1">
        <v>0.96</v>
      </c>
      <c r="W93" s="1">
        <f t="shared" si="30"/>
        <v>4.0000000000000036E-2</v>
      </c>
      <c r="X93" s="1">
        <f t="shared" si="31"/>
        <v>0.46079999999999999</v>
      </c>
      <c r="Y93" s="1">
        <f t="shared" si="32"/>
        <v>8.0000000000000145E-4</v>
      </c>
      <c r="Z93" s="1">
        <f t="shared" si="33"/>
        <v>4.9989150520522052E-2</v>
      </c>
      <c r="AA93" s="1">
        <f t="shared" si="34"/>
        <v>0.15195506351215995</v>
      </c>
      <c r="AB93" s="1">
        <f t="shared" si="35"/>
        <v>0.7524605953185074</v>
      </c>
      <c r="AC93" s="1">
        <f t="shared" si="36"/>
        <v>0.2475394046814926</v>
      </c>
      <c r="AE93" s="15">
        <f t="shared" si="37"/>
        <v>1</v>
      </c>
      <c r="AF93" s="15">
        <f t="shared" si="39"/>
        <v>0</v>
      </c>
    </row>
    <row r="94" spans="1:35" x14ac:dyDescent="0.3">
      <c r="A94" s="7">
        <v>202210</v>
      </c>
      <c r="B94" s="8">
        <v>44836</v>
      </c>
      <c r="C94" s="7">
        <v>54</v>
      </c>
      <c r="D94" s="7">
        <v>79</v>
      </c>
      <c r="E94" s="7">
        <v>50</v>
      </c>
      <c r="F94" s="7">
        <v>12</v>
      </c>
      <c r="G94" s="7">
        <v>43</v>
      </c>
      <c r="H94" s="7">
        <v>19</v>
      </c>
      <c r="I94" s="7">
        <v>79</v>
      </c>
      <c r="J94" s="7" t="s">
        <v>19</v>
      </c>
      <c r="K94" s="7" t="s">
        <v>20</v>
      </c>
      <c r="L94" s="7" t="s">
        <v>21</v>
      </c>
      <c r="N94" s="1">
        <f t="shared" si="23"/>
        <v>0.46551724137931033</v>
      </c>
      <c r="O94" s="10">
        <f t="shared" si="24"/>
        <v>0.34285714285714286</v>
      </c>
      <c r="P94" s="1">
        <f t="shared" si="25"/>
        <v>0.41666666666666669</v>
      </c>
      <c r="Q94" s="1">
        <f t="shared" si="26"/>
        <v>0.15789473684210525</v>
      </c>
      <c r="R94" s="1">
        <f t="shared" si="27"/>
        <v>0.15853658536585366</v>
      </c>
      <c r="S94" s="1">
        <f t="shared" si="28"/>
        <v>0.1875</v>
      </c>
      <c r="T94" s="1">
        <f t="shared" si="29"/>
        <v>1.7289723731110789</v>
      </c>
      <c r="V94" s="1">
        <v>0.97</v>
      </c>
      <c r="W94" s="1">
        <f t="shared" si="30"/>
        <v>3.0000000000000027E-2</v>
      </c>
      <c r="X94" s="1">
        <f t="shared" si="31"/>
        <v>0.43800517241379305</v>
      </c>
      <c r="Y94" s="1">
        <f t="shared" si="32"/>
        <v>4.1896551724138003E-4</v>
      </c>
      <c r="Z94" s="1">
        <f t="shared" si="33"/>
        <v>0.25101816271562888</v>
      </c>
      <c r="AA94" s="1">
        <f t="shared" si="34"/>
        <v>0.21780004065592568</v>
      </c>
      <c r="AB94" s="1">
        <f t="shared" si="35"/>
        <v>0.46457249119081595</v>
      </c>
      <c r="AC94" s="1">
        <f t="shared" si="36"/>
        <v>0.53542750880918399</v>
      </c>
      <c r="AE94" s="15">
        <f t="shared" si="37"/>
        <v>2</v>
      </c>
      <c r="AF94" s="15">
        <f t="shared" si="39"/>
        <v>1</v>
      </c>
    </row>
    <row r="95" spans="1:35" ht="27.6" x14ac:dyDescent="0.3">
      <c r="A95" s="7">
        <v>202210</v>
      </c>
      <c r="B95" s="8">
        <v>44835</v>
      </c>
      <c r="C95" s="7">
        <v>80</v>
      </c>
      <c r="D95" s="7">
        <v>128</v>
      </c>
      <c r="E95" s="7">
        <v>52</v>
      </c>
      <c r="F95" s="7">
        <v>14</v>
      </c>
      <c r="G95" s="7">
        <v>39</v>
      </c>
      <c r="H95" s="7">
        <v>21</v>
      </c>
      <c r="I95" s="7">
        <v>128</v>
      </c>
      <c r="J95" s="7" t="s">
        <v>19</v>
      </c>
      <c r="K95" s="7" t="s">
        <v>22</v>
      </c>
      <c r="L95" s="7" t="s">
        <v>21</v>
      </c>
      <c r="N95" s="1">
        <f t="shared" si="23"/>
        <v>0.91379310344827591</v>
      </c>
      <c r="O95" s="10">
        <f t="shared" si="24"/>
        <v>0.80952380952380953</v>
      </c>
      <c r="P95" s="1">
        <f t="shared" si="25"/>
        <v>0.58333333333333337</v>
      </c>
      <c r="Q95" s="1">
        <f t="shared" si="26"/>
        <v>0.26315789473684209</v>
      </c>
      <c r="R95" s="1">
        <f t="shared" si="27"/>
        <v>0.13414634146341464</v>
      </c>
      <c r="S95" s="1">
        <f t="shared" si="28"/>
        <v>0.25</v>
      </c>
      <c r="T95" s="1">
        <f t="shared" si="29"/>
        <v>2.9539544825056758</v>
      </c>
      <c r="V95" s="1">
        <v>0.98</v>
      </c>
      <c r="W95" s="1">
        <f t="shared" si="30"/>
        <v>2.0000000000000018E-2</v>
      </c>
      <c r="X95" s="1">
        <f t="shared" si="31"/>
        <v>0.87760689655172408</v>
      </c>
      <c r="Y95" s="1">
        <f t="shared" si="32"/>
        <v>3.6551724137931101E-4</v>
      </c>
      <c r="Z95" s="1">
        <f t="shared" si="33"/>
        <v>0.38371997859477802</v>
      </c>
      <c r="AA95" s="1">
        <f t="shared" si="34"/>
        <v>0.28038897452413586</v>
      </c>
      <c r="AB95" s="1">
        <f t="shared" si="35"/>
        <v>0.42220327433822452</v>
      </c>
      <c r="AC95" s="1">
        <f t="shared" si="36"/>
        <v>0.57779672566177553</v>
      </c>
      <c r="AE95" s="15">
        <f t="shared" si="37"/>
        <v>2</v>
      </c>
      <c r="AF95" s="15">
        <f t="shared" si="39"/>
        <v>0</v>
      </c>
    </row>
    <row r="96" spans="1:35" x14ac:dyDescent="0.3">
      <c r="A96" s="7">
        <v>202210</v>
      </c>
      <c r="B96" s="8">
        <v>44861</v>
      </c>
      <c r="C96" s="7">
        <v>41</v>
      </c>
      <c r="D96" s="7">
        <v>66</v>
      </c>
      <c r="E96" s="7">
        <v>51</v>
      </c>
      <c r="F96" s="7">
        <v>18</v>
      </c>
      <c r="G96" s="7">
        <v>35</v>
      </c>
      <c r="H96" s="7">
        <v>27</v>
      </c>
      <c r="I96" s="7">
        <v>66</v>
      </c>
      <c r="J96" s="7" t="s">
        <v>19</v>
      </c>
      <c r="K96" s="7" t="s">
        <v>20</v>
      </c>
      <c r="L96" s="7" t="s">
        <v>21</v>
      </c>
      <c r="N96" s="1">
        <f t="shared" si="23"/>
        <v>0.2413793103448276</v>
      </c>
      <c r="O96" s="10">
        <f t="shared" si="24"/>
        <v>0.21904761904761905</v>
      </c>
      <c r="P96" s="1">
        <f t="shared" si="25"/>
        <v>0.5</v>
      </c>
      <c r="Q96" s="1">
        <f t="shared" si="26"/>
        <v>0.47368421052631576</v>
      </c>
      <c r="R96" s="1">
        <f t="shared" si="27"/>
        <v>0.10975609756097561</v>
      </c>
      <c r="S96" s="1">
        <f t="shared" si="28"/>
        <v>0.4375</v>
      </c>
      <c r="T96" s="1">
        <f t="shared" si="29"/>
        <v>1.9813672374797382</v>
      </c>
      <c r="V96" s="1">
        <v>0.99</v>
      </c>
      <c r="W96" s="1">
        <f t="shared" si="30"/>
        <v>1.0000000000000009E-2</v>
      </c>
      <c r="X96" s="1">
        <f t="shared" si="31"/>
        <v>0.23657586206896553</v>
      </c>
      <c r="Y96" s="1">
        <f t="shared" si="32"/>
        <v>2.4137931034482802E-5</v>
      </c>
      <c r="Z96" s="1">
        <f t="shared" si="33"/>
        <v>0.18909769664257747</v>
      </c>
      <c r="AA96" s="1">
        <f t="shared" si="34"/>
        <v>0.28511898040854144</v>
      </c>
      <c r="AB96" s="1">
        <f t="shared" si="35"/>
        <v>0.60124199381078824</v>
      </c>
      <c r="AC96" s="1">
        <f t="shared" si="36"/>
        <v>0.39875800618921176</v>
      </c>
      <c r="AE96" s="15">
        <f t="shared" si="37"/>
        <v>1</v>
      </c>
      <c r="AF96" s="15">
        <f t="shared" si="39"/>
        <v>0</v>
      </c>
    </row>
    <row r="97" spans="1:33" x14ac:dyDescent="0.3">
      <c r="A97" s="7">
        <v>202210</v>
      </c>
      <c r="B97" s="8">
        <v>44862</v>
      </c>
      <c r="C97" s="7">
        <v>54</v>
      </c>
      <c r="D97" s="7">
        <v>77</v>
      </c>
      <c r="E97" s="7">
        <v>51</v>
      </c>
      <c r="F97" s="7">
        <v>16</v>
      </c>
      <c r="G97" s="7">
        <v>33</v>
      </c>
      <c r="H97" s="7">
        <v>32</v>
      </c>
      <c r="I97" s="7">
        <v>77</v>
      </c>
      <c r="J97" s="7" t="s">
        <v>19</v>
      </c>
      <c r="K97" s="7" t="s">
        <v>20</v>
      </c>
      <c r="L97" s="7" t="s">
        <v>21</v>
      </c>
      <c r="N97" s="1">
        <f t="shared" si="23"/>
        <v>0.46551724137931033</v>
      </c>
      <c r="O97" s="10">
        <f t="shared" si="24"/>
        <v>0.32380952380952382</v>
      </c>
      <c r="P97" s="1">
        <f t="shared" si="25"/>
        <v>0.5</v>
      </c>
      <c r="Q97" s="1">
        <f t="shared" si="26"/>
        <v>0.36842105263157893</v>
      </c>
      <c r="R97" s="1">
        <f t="shared" si="27"/>
        <v>9.7560975609756101E-2</v>
      </c>
      <c r="S97" s="1">
        <f t="shared" si="28"/>
        <v>0.59375</v>
      </c>
      <c r="T97" s="1">
        <f t="shared" si="29"/>
        <v>2.349058793430169</v>
      </c>
      <c r="V97" s="1">
        <v>0.1</v>
      </c>
      <c r="W97" s="1">
        <f t="shared" si="30"/>
        <v>0.9</v>
      </c>
      <c r="X97" s="1">
        <f t="shared" si="31"/>
        <v>4.6551724137931039E-3</v>
      </c>
      <c r="Y97" s="1">
        <f t="shared" si="32"/>
        <v>0.37706896551724139</v>
      </c>
      <c r="Z97" s="1">
        <f t="shared" si="33"/>
        <v>5.0051191736669269E-2</v>
      </c>
      <c r="AA97" s="1">
        <f t="shared" si="34"/>
        <v>0.13582965711209458</v>
      </c>
      <c r="AB97" s="1">
        <f t="shared" si="35"/>
        <v>0.73073508085068051</v>
      </c>
      <c r="AC97" s="1">
        <f t="shared" si="36"/>
        <v>0.26926491914931949</v>
      </c>
      <c r="AE97" s="15">
        <f t="shared" si="37"/>
        <v>1</v>
      </c>
      <c r="AF97" s="15">
        <f t="shared" si="39"/>
        <v>0</v>
      </c>
    </row>
    <row r="98" spans="1:33" x14ac:dyDescent="0.3">
      <c r="A98" s="7">
        <v>202210</v>
      </c>
      <c r="B98" s="8">
        <v>44863</v>
      </c>
      <c r="C98" s="7">
        <v>53</v>
      </c>
      <c r="D98" s="7">
        <v>86</v>
      </c>
      <c r="E98" s="7">
        <v>51</v>
      </c>
      <c r="F98" s="7">
        <v>15</v>
      </c>
      <c r="G98" s="7">
        <v>41</v>
      </c>
      <c r="H98" s="7">
        <v>29</v>
      </c>
      <c r="I98" s="7">
        <v>86</v>
      </c>
      <c r="J98" s="7" t="s">
        <v>19</v>
      </c>
      <c r="K98" s="7" t="s">
        <v>20</v>
      </c>
      <c r="L98" s="7" t="s">
        <v>21</v>
      </c>
      <c r="N98" s="1">
        <f t="shared" si="23"/>
        <v>0.44827586206896552</v>
      </c>
      <c r="O98" s="10">
        <f t="shared" si="24"/>
        <v>0.40952380952380951</v>
      </c>
      <c r="P98" s="1">
        <f t="shared" si="25"/>
        <v>0.5</v>
      </c>
      <c r="Q98" s="1">
        <f t="shared" si="26"/>
        <v>0.31578947368421051</v>
      </c>
      <c r="R98" s="1">
        <f t="shared" si="27"/>
        <v>0.14634146341463414</v>
      </c>
      <c r="S98" s="1">
        <f t="shared" si="28"/>
        <v>0.5</v>
      </c>
      <c r="T98" s="1">
        <f t="shared" si="29"/>
        <v>2.31993060869162</v>
      </c>
      <c r="V98" s="1">
        <v>0.10100000000000001</v>
      </c>
      <c r="W98" s="1">
        <f t="shared" si="30"/>
        <v>0.89900000000000002</v>
      </c>
      <c r="X98" s="1">
        <f t="shared" si="31"/>
        <v>4.5728620689655178E-3</v>
      </c>
      <c r="Y98" s="1">
        <f t="shared" si="32"/>
        <v>0.36229700000000004</v>
      </c>
      <c r="Z98" s="1">
        <f t="shared" si="33"/>
        <v>4.5922900491865905E-2</v>
      </c>
      <c r="AA98" s="1">
        <f t="shared" si="34"/>
        <v>9.1316903466803545E-2</v>
      </c>
      <c r="AB98" s="1">
        <f t="shared" si="35"/>
        <v>0.66538205996202193</v>
      </c>
      <c r="AC98" s="1">
        <f t="shared" si="36"/>
        <v>0.33461794003797807</v>
      </c>
      <c r="AE98" s="15">
        <f t="shared" si="37"/>
        <v>1</v>
      </c>
      <c r="AF98" s="15">
        <f t="shared" si="39"/>
        <v>0</v>
      </c>
    </row>
    <row r="99" spans="1:33" x14ac:dyDescent="0.3">
      <c r="A99" s="7"/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T99" s="1">
        <f>SUM(AF2:AF51) / 98</f>
        <v>0.17346938775510204</v>
      </c>
      <c r="AB99" s="4"/>
      <c r="AC99" s="4">
        <f t="shared" ref="AC99" si="41">1 - AB99</f>
        <v>1</v>
      </c>
      <c r="AE99" s="4"/>
    </row>
    <row r="100" spans="1:33" x14ac:dyDescent="0.3">
      <c r="A100" s="7"/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N100" s="4"/>
      <c r="O100" s="5"/>
      <c r="P100" s="5"/>
      <c r="Q100" s="5"/>
      <c r="R100" s="5"/>
      <c r="S100" s="5"/>
      <c r="T100" s="5"/>
      <c r="AB100" s="1"/>
      <c r="AC100" s="1"/>
      <c r="AG100" t="s">
        <v>40</v>
      </c>
    </row>
    <row r="101" spans="1:33" x14ac:dyDescent="0.3">
      <c r="A101" s="7"/>
      <c r="B101" s="8"/>
      <c r="C101"/>
      <c r="D101" s="7"/>
      <c r="E101" s="7"/>
      <c r="F101" s="7"/>
      <c r="G101" s="7"/>
      <c r="H101" s="7"/>
      <c r="I101" s="7"/>
      <c r="J101" s="7"/>
      <c r="K101" s="7"/>
      <c r="L101" s="7"/>
      <c r="N101"/>
      <c r="O101"/>
      <c r="P101"/>
      <c r="Q101"/>
      <c r="R101"/>
      <c r="S101"/>
      <c r="T101"/>
    </row>
    <row r="102" spans="1:33" x14ac:dyDescent="0.3">
      <c r="A102" s="7"/>
      <c r="B102" s="8"/>
      <c r="C102">
        <f>SUMPRODUCT(V2:V99, C2:C99) / SUM(V2:V99)</f>
        <v>61.610943256466761</v>
      </c>
      <c r="D102" s="7"/>
      <c r="E102" s="7"/>
      <c r="F102" s="7"/>
      <c r="G102" s="7"/>
      <c r="H102" s="7"/>
      <c r="I102" s="7"/>
      <c r="J102" s="7"/>
      <c r="K102" s="7"/>
      <c r="L102" s="7"/>
      <c r="N102">
        <f>SUMPRODUCT($V$2:$V$99, $V$2:$V$99, N2:N99) / SUMPRODUCT($V$2:$V$99, $V$2:$V$99)</f>
        <v>0.58027574160282414</v>
      </c>
      <c r="O102">
        <f t="shared" ref="O102:T102" si="42">SUMPRODUCT($V$2:$V$99, $V$2:$V$99, O2:O99) / SUMPRODUCT($V$2:$V$99, $V$2:$V$99)</f>
        <v>0.45261775198064735</v>
      </c>
      <c r="P102">
        <f t="shared" si="42"/>
        <v>0.46590329128250113</v>
      </c>
      <c r="Q102">
        <f t="shared" si="42"/>
        <v>0.46209696963051849</v>
      </c>
      <c r="R102">
        <f t="shared" si="42"/>
        <v>0.18843053555905442</v>
      </c>
      <c r="S102">
        <f t="shared" si="42"/>
        <v>0.54797796899636708</v>
      </c>
      <c r="T102">
        <f t="shared" si="42"/>
        <v>2.6973022590519125</v>
      </c>
    </row>
    <row r="103" spans="1:33" x14ac:dyDescent="0.3">
      <c r="A103" s="7"/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N103">
        <f>SUMPRODUCT($W$2:$W$99, $W$2:$W$99, N2:N99) / SUMPRODUCT($W$2:$W$99, $W$2:$W$99)</f>
        <v>0.64253461077591545</v>
      </c>
      <c r="O103">
        <f t="shared" ref="O103:T103" si="43">SUMPRODUCT($W$2:$W$99, $W$2:$W$99, O2:O99) / SUMPRODUCT($W$2:$W$99, $W$2:$W$99)</f>
        <v>0.50769852063699961</v>
      </c>
      <c r="P103">
        <f t="shared" si="43"/>
        <v>0.42795496105435127</v>
      </c>
      <c r="Q103">
        <f t="shared" si="43"/>
        <v>0.43271842233034141</v>
      </c>
      <c r="R103">
        <f t="shared" si="43"/>
        <v>0.29408044510754472</v>
      </c>
      <c r="S103">
        <f t="shared" si="43"/>
        <v>0.44296935266343568</v>
      </c>
      <c r="T103">
        <f t="shared" si="43"/>
        <v>2.7479563125685895</v>
      </c>
    </row>
    <row r="104" spans="1:33" x14ac:dyDescent="0.3">
      <c r="A104" s="7"/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N104" s="4"/>
      <c r="O104" s="5"/>
      <c r="P104" s="5"/>
      <c r="Q104" s="5"/>
      <c r="R104" s="5"/>
      <c r="S104" s="5"/>
      <c r="T104" s="5"/>
    </row>
    <row r="105" spans="1:33" x14ac:dyDescent="0.3">
      <c r="A105" s="7"/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N105" s="4"/>
      <c r="O105" s="5"/>
      <c r="P105" s="5"/>
      <c r="Q105" s="5"/>
      <c r="R105" s="5"/>
      <c r="S105" s="5"/>
      <c r="T105" s="5"/>
    </row>
    <row r="106" spans="1:33" x14ac:dyDescent="0.3">
      <c r="A106" s="7"/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N106" s="4"/>
      <c r="O106" s="5"/>
      <c r="P106" s="5"/>
      <c r="Q106" s="5"/>
      <c r="R106" s="5"/>
      <c r="S106" s="5"/>
      <c r="T106" s="5"/>
    </row>
    <row r="107" spans="1:33" x14ac:dyDescent="0.3">
      <c r="A107" s="7"/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N107" s="4"/>
      <c r="O107" s="5"/>
      <c r="P107" s="5"/>
      <c r="Q107" s="5"/>
      <c r="R107" s="5"/>
      <c r="S107" s="5"/>
      <c r="T107" s="5"/>
    </row>
    <row r="108" spans="1:33" x14ac:dyDescent="0.3">
      <c r="A108" s="7"/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N108" s="4"/>
      <c r="O108" s="5"/>
      <c r="P108" s="5"/>
      <c r="Q108" s="5"/>
      <c r="R108" s="5"/>
      <c r="S108" s="5"/>
      <c r="T108" s="5"/>
    </row>
    <row r="109" spans="1:33" x14ac:dyDescent="0.3">
      <c r="A109" s="7"/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N109" s="4"/>
      <c r="O109" s="5"/>
      <c r="P109" s="5"/>
      <c r="Q109" s="5"/>
      <c r="R109" s="5"/>
      <c r="S109" s="5"/>
      <c r="T109" s="5"/>
    </row>
    <row r="110" spans="1:33" x14ac:dyDescent="0.3">
      <c r="A110" s="7"/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N110" s="4"/>
      <c r="O110" s="5"/>
      <c r="P110" s="5"/>
      <c r="Q110" s="5"/>
      <c r="R110" s="5"/>
      <c r="S110" s="5"/>
      <c r="T110" s="5"/>
    </row>
    <row r="111" spans="1:33" x14ac:dyDescent="0.3">
      <c r="A111" s="7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N111" s="4"/>
      <c r="O111" s="5"/>
      <c r="P111" s="5"/>
      <c r="Q111" s="5"/>
      <c r="R111" s="5"/>
      <c r="S111" s="5"/>
      <c r="T111" s="5"/>
    </row>
    <row r="112" spans="1:33" x14ac:dyDescent="0.3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N112" s="4"/>
      <c r="O112" s="5"/>
      <c r="P112" s="5"/>
      <c r="Q112" s="5"/>
      <c r="R112" s="5"/>
      <c r="S112" s="5"/>
      <c r="T112" s="5"/>
    </row>
    <row r="113" spans="1:20" x14ac:dyDescent="0.3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N113" s="4"/>
      <c r="O113" s="5"/>
      <c r="P113" s="5"/>
      <c r="Q113" s="5"/>
      <c r="R113" s="5"/>
      <c r="S113" s="5"/>
      <c r="T113" s="5"/>
    </row>
    <row r="114" spans="1:20" x14ac:dyDescent="0.3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N114" s="4"/>
      <c r="O114" s="5"/>
      <c r="P114" s="5"/>
      <c r="Q114" s="5"/>
      <c r="R114" s="5"/>
      <c r="S114" s="5"/>
      <c r="T114" s="5"/>
    </row>
    <row r="115" spans="1:20" x14ac:dyDescent="0.3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N115" s="4"/>
      <c r="O115" s="5"/>
      <c r="P115" s="5"/>
      <c r="Q115" s="5"/>
      <c r="R115" s="5"/>
      <c r="S115" s="5"/>
      <c r="T115" s="5"/>
    </row>
    <row r="116" spans="1:20" x14ac:dyDescent="0.3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N116" s="4"/>
      <c r="O116" s="5"/>
      <c r="P116" s="5"/>
      <c r="Q116" s="5"/>
      <c r="R116" s="5"/>
      <c r="S116" s="5"/>
      <c r="T116" s="5"/>
    </row>
    <row r="117" spans="1:20" x14ac:dyDescent="0.3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N117" s="4"/>
      <c r="O117" s="5"/>
      <c r="P117" s="5"/>
      <c r="Q117" s="5"/>
      <c r="R117" s="5"/>
      <c r="S117" s="5"/>
      <c r="T117" s="5"/>
    </row>
    <row r="118" spans="1:20" x14ac:dyDescent="0.3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N118" s="4"/>
      <c r="O118" s="5"/>
      <c r="P118" s="5"/>
      <c r="Q118" s="5"/>
      <c r="R118" s="5"/>
      <c r="S118" s="5"/>
      <c r="T118" s="5"/>
    </row>
    <row r="119" spans="1:20" x14ac:dyDescent="0.3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N119" s="4"/>
      <c r="O119" s="5"/>
      <c r="P119" s="5"/>
      <c r="Q119" s="5"/>
      <c r="R119" s="5"/>
      <c r="S119" s="5"/>
      <c r="T119" s="5"/>
    </row>
    <row r="120" spans="1:20" x14ac:dyDescent="0.3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N120" s="4"/>
      <c r="O120" s="5"/>
      <c r="P120" s="5"/>
      <c r="Q120" s="5"/>
      <c r="R120" s="5"/>
      <c r="S120" s="5"/>
      <c r="T120" s="5"/>
    </row>
    <row r="121" spans="1:20" x14ac:dyDescent="0.3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N121" s="4"/>
      <c r="O121" s="5"/>
      <c r="P121" s="5"/>
      <c r="Q121" s="5"/>
      <c r="R121" s="5"/>
      <c r="S121" s="5"/>
      <c r="T121" s="5"/>
    </row>
    <row r="122" spans="1:20" x14ac:dyDescent="0.3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N122" s="4"/>
      <c r="O122" s="5"/>
      <c r="P122" s="5"/>
      <c r="Q122" s="5"/>
      <c r="R122" s="5"/>
      <c r="S122" s="5"/>
      <c r="T122" s="5"/>
    </row>
    <row r="123" spans="1:20" x14ac:dyDescent="0.3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N123" s="4"/>
      <c r="O123" s="5"/>
      <c r="P123" s="5"/>
      <c r="Q123" s="5"/>
      <c r="R123" s="5"/>
      <c r="S123" s="5"/>
      <c r="T123" s="5"/>
    </row>
    <row r="124" spans="1:20" x14ac:dyDescent="0.3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N124" s="4"/>
      <c r="O124" s="5"/>
      <c r="P124" s="5"/>
      <c r="Q124" s="5"/>
      <c r="R124" s="5"/>
      <c r="S124" s="5"/>
      <c r="T124" s="5"/>
    </row>
    <row r="125" spans="1:20" x14ac:dyDescent="0.3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N125" s="4"/>
      <c r="O125" s="5"/>
      <c r="P125" s="5"/>
      <c r="Q125" s="5"/>
      <c r="R125" s="5"/>
      <c r="S125" s="5"/>
      <c r="T125" s="5"/>
    </row>
    <row r="126" spans="1:20" x14ac:dyDescent="0.3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N126" s="4"/>
      <c r="O126" s="5"/>
      <c r="P126" s="5"/>
      <c r="Q126" s="5"/>
      <c r="R126" s="5"/>
      <c r="S126" s="5"/>
      <c r="T126" s="5"/>
    </row>
    <row r="127" spans="1:20" x14ac:dyDescent="0.3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N127" s="4"/>
      <c r="O127" s="5"/>
      <c r="P127" s="5"/>
      <c r="Q127" s="5"/>
      <c r="R127" s="5"/>
      <c r="S127" s="5"/>
      <c r="T127" s="5"/>
    </row>
    <row r="128" spans="1:20" x14ac:dyDescent="0.3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N128" s="4"/>
      <c r="O128" s="5"/>
      <c r="P128" s="5"/>
      <c r="Q128" s="5"/>
      <c r="R128" s="5"/>
      <c r="S128" s="5"/>
      <c r="T128" s="5"/>
    </row>
    <row r="129" spans="1:20" x14ac:dyDescent="0.3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N129" s="4"/>
      <c r="O129" s="5"/>
      <c r="P129" s="5"/>
      <c r="Q129" s="5"/>
      <c r="R129" s="5"/>
      <c r="S129" s="5"/>
      <c r="T129" s="5"/>
    </row>
    <row r="130" spans="1:20" x14ac:dyDescent="0.3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N130" s="4"/>
      <c r="O130" s="5"/>
      <c r="P130" s="5"/>
      <c r="Q130" s="5"/>
      <c r="R130" s="5"/>
      <c r="S130" s="5"/>
      <c r="T130" s="5"/>
    </row>
    <row r="131" spans="1:20" x14ac:dyDescent="0.3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N131" s="4"/>
      <c r="O131" s="5"/>
      <c r="P131" s="5"/>
      <c r="Q131" s="5"/>
      <c r="R131" s="5"/>
      <c r="S131" s="5"/>
      <c r="T131" s="5"/>
    </row>
    <row r="132" spans="1:20" x14ac:dyDescent="0.3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N132" s="4"/>
      <c r="O132" s="5"/>
      <c r="P132" s="5"/>
      <c r="Q132" s="5"/>
      <c r="R132" s="5"/>
      <c r="S132" s="5"/>
      <c r="T132" s="5"/>
    </row>
    <row r="133" spans="1:20" x14ac:dyDescent="0.3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N133" s="4"/>
      <c r="O133" s="5"/>
      <c r="P133" s="5"/>
      <c r="Q133" s="5"/>
      <c r="R133" s="5"/>
      <c r="S133" s="5"/>
      <c r="T133" s="5"/>
    </row>
    <row r="134" spans="1:20" x14ac:dyDescent="0.3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N134" s="4"/>
      <c r="O134" s="5"/>
      <c r="P134" s="5"/>
      <c r="Q134" s="5"/>
      <c r="R134" s="5"/>
      <c r="S134" s="5"/>
      <c r="T134" s="5"/>
    </row>
    <row r="135" spans="1:20" x14ac:dyDescent="0.3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N135" s="4"/>
      <c r="O135" s="5"/>
      <c r="P135" s="5"/>
      <c r="Q135" s="5"/>
      <c r="R135" s="5"/>
      <c r="S135" s="5"/>
      <c r="T135" s="5"/>
    </row>
    <row r="136" spans="1:20" x14ac:dyDescent="0.3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N136" s="4"/>
      <c r="O136" s="5"/>
      <c r="P136" s="5"/>
      <c r="Q136" s="5"/>
      <c r="R136" s="5"/>
      <c r="S136" s="5"/>
      <c r="T136" s="5"/>
    </row>
    <row r="137" spans="1:20" x14ac:dyDescent="0.3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N137" s="4"/>
      <c r="O137" s="5"/>
      <c r="P137" s="5"/>
      <c r="Q137" s="5"/>
      <c r="R137" s="5"/>
      <c r="S137" s="5"/>
      <c r="T137" s="5"/>
    </row>
    <row r="138" spans="1:20" x14ac:dyDescent="0.3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N138" s="4"/>
      <c r="O138" s="5"/>
      <c r="P138" s="5"/>
      <c r="Q138" s="5"/>
      <c r="R138" s="5"/>
      <c r="S138" s="5"/>
      <c r="T138" s="5"/>
    </row>
    <row r="139" spans="1:20" x14ac:dyDescent="0.3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N139" s="4"/>
      <c r="O139" s="5"/>
      <c r="P139" s="5"/>
      <c r="Q139" s="5"/>
      <c r="R139" s="5"/>
      <c r="S139" s="5"/>
      <c r="T139" s="5"/>
    </row>
    <row r="140" spans="1:20" x14ac:dyDescent="0.3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N140" s="4"/>
      <c r="O140" s="5"/>
      <c r="P140" s="5"/>
      <c r="Q140" s="5"/>
      <c r="R140" s="5"/>
      <c r="S140" s="5"/>
      <c r="T140" s="5"/>
    </row>
    <row r="141" spans="1:20" x14ac:dyDescent="0.3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N141" s="4"/>
      <c r="O141" s="5"/>
      <c r="P141" s="5"/>
      <c r="Q141" s="5"/>
      <c r="R141" s="5"/>
      <c r="S141" s="5"/>
      <c r="T141" s="5"/>
    </row>
    <row r="142" spans="1:20" x14ac:dyDescent="0.3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N142" s="4"/>
      <c r="O142" s="5"/>
      <c r="P142" s="5"/>
      <c r="Q142" s="5"/>
      <c r="R142" s="5"/>
      <c r="S142" s="5"/>
      <c r="T142" s="5"/>
    </row>
    <row r="143" spans="1:20" x14ac:dyDescent="0.3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N143" s="4"/>
      <c r="O143" s="5"/>
      <c r="P143" s="5"/>
      <c r="Q143" s="5"/>
      <c r="R143" s="5"/>
      <c r="S143" s="5"/>
      <c r="T143" s="5"/>
    </row>
    <row r="144" spans="1:20" x14ac:dyDescent="0.3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N144" s="4"/>
      <c r="O144" s="5"/>
      <c r="P144" s="5"/>
      <c r="Q144" s="5"/>
      <c r="R144" s="5"/>
      <c r="S144" s="5"/>
      <c r="T144" s="5"/>
    </row>
    <row r="145" spans="1:20" x14ac:dyDescent="0.3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N145" s="4"/>
      <c r="O145" s="5"/>
      <c r="P145" s="5"/>
      <c r="Q145" s="5"/>
      <c r="R145" s="5"/>
      <c r="S145" s="5"/>
      <c r="T145" s="5"/>
    </row>
    <row r="146" spans="1:20" x14ac:dyDescent="0.3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N146" s="4"/>
      <c r="O146" s="5"/>
      <c r="P146" s="5"/>
      <c r="Q146" s="5"/>
      <c r="R146" s="5"/>
      <c r="S146" s="5"/>
      <c r="T146" s="5"/>
    </row>
    <row r="147" spans="1:20" x14ac:dyDescent="0.3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N147" s="4"/>
      <c r="O147" s="5"/>
      <c r="P147" s="5"/>
      <c r="Q147" s="5"/>
      <c r="R147" s="5"/>
      <c r="S147" s="5"/>
      <c r="T147" s="5"/>
    </row>
    <row r="148" spans="1:20" x14ac:dyDescent="0.3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N148" s="4"/>
      <c r="O148" s="5"/>
      <c r="P148" s="5"/>
      <c r="Q148" s="5"/>
      <c r="R148" s="5"/>
      <c r="S148" s="5"/>
      <c r="T148" s="5"/>
    </row>
    <row r="149" spans="1:20" x14ac:dyDescent="0.3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N149" s="4"/>
      <c r="O149" s="5"/>
      <c r="P149" s="5"/>
      <c r="Q149" s="5"/>
      <c r="R149" s="5"/>
      <c r="S149" s="5"/>
      <c r="T149" s="5"/>
    </row>
    <row r="150" spans="1:20" x14ac:dyDescent="0.3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N150" s="4"/>
      <c r="O150" s="5"/>
      <c r="P150" s="5"/>
      <c r="Q150" s="5"/>
      <c r="R150" s="5"/>
      <c r="S150" s="5"/>
      <c r="T150" s="5"/>
    </row>
    <row r="151" spans="1:20" x14ac:dyDescent="0.3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N151" s="4"/>
      <c r="O151" s="5"/>
      <c r="P151" s="5"/>
      <c r="Q151" s="5"/>
      <c r="R151" s="5"/>
      <c r="S151" s="5"/>
      <c r="T151" s="5"/>
    </row>
    <row r="152" spans="1:20" x14ac:dyDescent="0.3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N152" s="4"/>
      <c r="O152" s="5"/>
      <c r="P152" s="5"/>
      <c r="Q152" s="5"/>
      <c r="R152" s="5"/>
      <c r="S152" s="5"/>
      <c r="T152" s="5"/>
    </row>
    <row r="153" spans="1:20" x14ac:dyDescent="0.3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N153" s="4"/>
      <c r="O153" s="5"/>
      <c r="P153" s="5"/>
      <c r="Q153" s="5"/>
      <c r="R153" s="5"/>
      <c r="S153" s="5"/>
      <c r="T153" s="5"/>
    </row>
    <row r="154" spans="1:20" x14ac:dyDescent="0.3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N154" s="4"/>
      <c r="O154" s="5"/>
      <c r="P154" s="5"/>
      <c r="Q154" s="5"/>
      <c r="R154" s="5"/>
      <c r="S154" s="5"/>
      <c r="T154" s="5"/>
    </row>
    <row r="155" spans="1:20" x14ac:dyDescent="0.3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N155" s="4"/>
      <c r="O155" s="5"/>
      <c r="P155" s="5"/>
      <c r="Q155" s="5"/>
      <c r="R155" s="5"/>
      <c r="S155" s="5"/>
      <c r="T155" s="5"/>
    </row>
    <row r="156" spans="1:20" x14ac:dyDescent="0.3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N156" s="4"/>
      <c r="O156" s="5"/>
      <c r="P156" s="5"/>
      <c r="Q156" s="5"/>
      <c r="R156" s="5"/>
      <c r="S156" s="5"/>
      <c r="T156" s="5"/>
    </row>
    <row r="157" spans="1:20" x14ac:dyDescent="0.3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N157" s="4"/>
      <c r="O157" s="5"/>
      <c r="P157" s="5"/>
      <c r="Q157" s="5"/>
      <c r="R157" s="5"/>
      <c r="S157" s="5"/>
      <c r="T157" s="5"/>
    </row>
    <row r="158" spans="1:20" x14ac:dyDescent="0.3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N158" s="4"/>
      <c r="O158" s="5"/>
      <c r="P158" s="5"/>
      <c r="Q158" s="5"/>
      <c r="R158" s="5"/>
      <c r="S158" s="5"/>
      <c r="T158" s="5"/>
    </row>
    <row r="159" spans="1:20" x14ac:dyDescent="0.3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N159" s="4"/>
      <c r="O159" s="5"/>
      <c r="P159" s="5"/>
      <c r="Q159" s="5"/>
      <c r="R159" s="5"/>
      <c r="S159" s="5"/>
      <c r="T159" s="5"/>
    </row>
    <row r="160" spans="1:20" x14ac:dyDescent="0.3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N160" s="4"/>
      <c r="O160" s="5"/>
      <c r="P160" s="5"/>
      <c r="Q160" s="5"/>
      <c r="R160" s="5"/>
      <c r="S160" s="5"/>
      <c r="T160" s="5"/>
    </row>
    <row r="161" spans="1:20" x14ac:dyDescent="0.3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N161" s="4"/>
      <c r="O161" s="5"/>
      <c r="P161" s="5"/>
      <c r="Q161" s="5"/>
      <c r="R161" s="5"/>
      <c r="S161" s="5"/>
      <c r="T161" s="5"/>
    </row>
    <row r="162" spans="1:20" x14ac:dyDescent="0.3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N162" s="4"/>
      <c r="O162" s="5"/>
      <c r="P162" s="5"/>
      <c r="Q162" s="5"/>
      <c r="R162" s="5"/>
      <c r="S162" s="5"/>
      <c r="T162" s="5"/>
    </row>
    <row r="163" spans="1:20" x14ac:dyDescent="0.3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N163" s="4"/>
      <c r="O163" s="5"/>
      <c r="P163" s="5"/>
      <c r="Q163" s="5"/>
      <c r="R163" s="5"/>
      <c r="S163" s="5"/>
      <c r="T163" s="5"/>
    </row>
    <row r="164" spans="1:20" x14ac:dyDescent="0.3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N164" s="4"/>
      <c r="O164" s="5"/>
      <c r="P164" s="5"/>
      <c r="Q164" s="5"/>
      <c r="R164" s="5"/>
      <c r="S164" s="5"/>
      <c r="T164" s="5"/>
    </row>
    <row r="165" spans="1:20" x14ac:dyDescent="0.3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N165" s="4"/>
      <c r="O165" s="5"/>
      <c r="P165" s="5"/>
      <c r="Q165" s="5"/>
      <c r="R165" s="5"/>
      <c r="S165" s="5"/>
      <c r="T165" s="5"/>
    </row>
    <row r="166" spans="1:20" x14ac:dyDescent="0.3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N166" s="4"/>
      <c r="O166" s="5"/>
      <c r="P166" s="5"/>
      <c r="Q166" s="5"/>
      <c r="R166" s="5"/>
      <c r="S166" s="5"/>
      <c r="T166" s="5"/>
    </row>
    <row r="167" spans="1:20" x14ac:dyDescent="0.3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N167" s="4"/>
      <c r="O167" s="5"/>
      <c r="P167" s="5"/>
      <c r="Q167" s="5"/>
      <c r="R167" s="5"/>
      <c r="S167" s="5"/>
      <c r="T167" s="5"/>
    </row>
    <row r="168" spans="1:20" x14ac:dyDescent="0.3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N168" s="4"/>
      <c r="O168" s="5"/>
      <c r="P168" s="5"/>
      <c r="Q168" s="5"/>
      <c r="R168" s="5"/>
      <c r="S168" s="5"/>
      <c r="T168" s="5"/>
    </row>
    <row r="169" spans="1:20" x14ac:dyDescent="0.3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N169" s="4"/>
      <c r="O169" s="5"/>
      <c r="P169" s="5"/>
      <c r="Q169" s="5"/>
      <c r="R169" s="5"/>
      <c r="S169" s="5"/>
      <c r="T169" s="5"/>
    </row>
    <row r="170" spans="1:20" x14ac:dyDescent="0.3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N170" s="4"/>
      <c r="O170" s="5"/>
      <c r="P170" s="5"/>
      <c r="Q170" s="5"/>
      <c r="R170" s="5"/>
      <c r="S170" s="5"/>
      <c r="T170" s="5"/>
    </row>
    <row r="171" spans="1:20" x14ac:dyDescent="0.3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N171" s="4"/>
      <c r="O171" s="5"/>
      <c r="P171" s="5"/>
      <c r="Q171" s="5"/>
      <c r="R171" s="5"/>
      <c r="S171" s="5"/>
      <c r="T171" s="5"/>
    </row>
    <row r="172" spans="1:20" x14ac:dyDescent="0.3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N172" s="4"/>
      <c r="O172" s="5"/>
      <c r="P172" s="5"/>
      <c r="Q172" s="5"/>
      <c r="R172" s="5"/>
      <c r="S172" s="5"/>
      <c r="T172" s="5"/>
    </row>
    <row r="173" spans="1:20" x14ac:dyDescent="0.3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N173" s="4"/>
      <c r="O173" s="5"/>
      <c r="P173" s="5"/>
      <c r="Q173" s="5"/>
      <c r="R173" s="5"/>
      <c r="S173" s="5"/>
      <c r="T173" s="5"/>
    </row>
    <row r="174" spans="1:20" x14ac:dyDescent="0.3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N174" s="4"/>
      <c r="O174" s="5"/>
      <c r="P174" s="5"/>
      <c r="Q174" s="5"/>
      <c r="R174" s="5"/>
      <c r="S174" s="5"/>
      <c r="T174" s="5"/>
    </row>
    <row r="175" spans="1:20" x14ac:dyDescent="0.3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N175" s="4"/>
      <c r="O175" s="5"/>
      <c r="P175" s="5"/>
      <c r="Q175" s="5"/>
      <c r="R175" s="5"/>
      <c r="S175" s="5"/>
      <c r="T175" s="5"/>
    </row>
    <row r="176" spans="1:20" x14ac:dyDescent="0.3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N176" s="4"/>
      <c r="O176" s="5"/>
      <c r="P176" s="5"/>
      <c r="Q176" s="5"/>
      <c r="R176" s="5"/>
      <c r="S176" s="5"/>
      <c r="T176" s="5"/>
    </row>
    <row r="177" spans="1:20" x14ac:dyDescent="0.3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N177" s="4"/>
      <c r="O177" s="5"/>
      <c r="P177" s="5"/>
      <c r="Q177" s="5"/>
      <c r="R177" s="5"/>
      <c r="S177" s="5"/>
      <c r="T177" s="5"/>
    </row>
    <row r="178" spans="1:20" x14ac:dyDescent="0.3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N178" s="4"/>
      <c r="O178" s="5"/>
      <c r="P178" s="5"/>
      <c r="Q178" s="5"/>
      <c r="R178" s="5"/>
      <c r="S178" s="5"/>
      <c r="T178" s="5"/>
    </row>
    <row r="179" spans="1:20" x14ac:dyDescent="0.3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N179" s="4"/>
      <c r="O179" s="5"/>
      <c r="P179" s="5"/>
      <c r="Q179" s="5"/>
      <c r="R179" s="5"/>
      <c r="S179" s="5"/>
      <c r="T179" s="5"/>
    </row>
    <row r="180" spans="1:20" x14ac:dyDescent="0.3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N180" s="4"/>
      <c r="O180" s="5"/>
      <c r="P180" s="5"/>
      <c r="Q180" s="5"/>
      <c r="R180" s="5"/>
      <c r="S180" s="5"/>
      <c r="T180" s="5"/>
    </row>
    <row r="181" spans="1:20" x14ac:dyDescent="0.3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N181" s="4"/>
      <c r="O181" s="5"/>
      <c r="P181" s="5"/>
      <c r="Q181" s="5"/>
      <c r="R181" s="5"/>
      <c r="S181" s="5"/>
      <c r="T181" s="5"/>
    </row>
    <row r="182" spans="1:20" x14ac:dyDescent="0.3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N182" s="4"/>
      <c r="O182" s="5"/>
      <c r="P182" s="5"/>
      <c r="Q182" s="5"/>
      <c r="R182" s="5"/>
      <c r="S182" s="5"/>
      <c r="T182" s="5"/>
    </row>
    <row r="183" spans="1:20" x14ac:dyDescent="0.3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N183" s="4"/>
      <c r="O183" s="5"/>
      <c r="P183" s="5"/>
      <c r="Q183" s="5"/>
      <c r="R183" s="5"/>
      <c r="S183" s="5"/>
      <c r="T183" s="5"/>
    </row>
    <row r="184" spans="1:20" x14ac:dyDescent="0.3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N184" s="4"/>
      <c r="O184" s="5"/>
      <c r="P184" s="5"/>
      <c r="Q184" s="5"/>
      <c r="R184" s="5"/>
      <c r="S184" s="5"/>
      <c r="T184" s="5"/>
    </row>
    <row r="185" spans="1:20" x14ac:dyDescent="0.3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N185" s="4"/>
      <c r="O185" s="5"/>
      <c r="P185" s="5"/>
      <c r="Q185" s="5"/>
      <c r="R185" s="5"/>
      <c r="S185" s="5"/>
      <c r="T185" s="5"/>
    </row>
    <row r="186" spans="1:20" x14ac:dyDescent="0.3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N186" s="4"/>
      <c r="O186" s="5"/>
      <c r="P186" s="5"/>
      <c r="Q186" s="5"/>
      <c r="R186" s="5"/>
      <c r="S186" s="5"/>
      <c r="T186" s="5"/>
    </row>
    <row r="187" spans="1:20" x14ac:dyDescent="0.3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N187" s="4"/>
      <c r="O187" s="5"/>
      <c r="P187" s="5"/>
      <c r="Q187" s="5"/>
      <c r="R187" s="5"/>
      <c r="S187" s="5"/>
      <c r="T187" s="5"/>
    </row>
    <row r="188" spans="1:20" x14ac:dyDescent="0.3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N188" s="4"/>
      <c r="O188" s="5"/>
      <c r="P188" s="5"/>
      <c r="Q188" s="5"/>
      <c r="R188" s="5"/>
      <c r="S188" s="5"/>
      <c r="T188" s="5"/>
    </row>
    <row r="189" spans="1:20" x14ac:dyDescent="0.3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N189" s="4"/>
      <c r="O189" s="5"/>
      <c r="P189" s="5"/>
      <c r="Q189" s="5"/>
      <c r="R189" s="5"/>
      <c r="S189" s="5"/>
      <c r="T189" s="5"/>
    </row>
    <row r="190" spans="1:20" x14ac:dyDescent="0.3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N190" s="4"/>
      <c r="O190" s="5"/>
      <c r="P190" s="5"/>
      <c r="Q190" s="5"/>
      <c r="R190" s="5"/>
      <c r="S190" s="5"/>
      <c r="T190" s="5"/>
    </row>
    <row r="191" spans="1:20" x14ac:dyDescent="0.3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N191" s="4"/>
      <c r="O191" s="5"/>
      <c r="P191" s="5"/>
      <c r="Q191" s="5"/>
      <c r="R191" s="5"/>
      <c r="S191" s="5"/>
      <c r="T191" s="5"/>
    </row>
    <row r="192" spans="1:20" x14ac:dyDescent="0.3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N192" s="4"/>
      <c r="O192" s="5"/>
      <c r="P192" s="5"/>
      <c r="Q192" s="5"/>
      <c r="R192" s="5"/>
      <c r="S192" s="5"/>
      <c r="T192" s="5"/>
    </row>
    <row r="193" spans="1:20" x14ac:dyDescent="0.3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N193" s="4"/>
      <c r="O193" s="5"/>
      <c r="P193" s="5"/>
      <c r="Q193" s="5"/>
      <c r="R193" s="5"/>
      <c r="S193" s="5"/>
      <c r="T193" s="5"/>
    </row>
    <row r="194" spans="1:20" x14ac:dyDescent="0.3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N194" s="4"/>
      <c r="O194" s="5"/>
      <c r="P194" s="5"/>
      <c r="Q194" s="5"/>
      <c r="R194" s="5"/>
      <c r="S194" s="5"/>
      <c r="T194" s="5"/>
    </row>
    <row r="195" spans="1:20" x14ac:dyDescent="0.3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N195" s="4"/>
      <c r="O195" s="5"/>
      <c r="P195" s="5"/>
      <c r="Q195" s="5"/>
      <c r="R195" s="5"/>
      <c r="S195" s="5"/>
      <c r="T195" s="5"/>
    </row>
    <row r="196" spans="1:20" x14ac:dyDescent="0.3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N196" s="4"/>
      <c r="O196" s="5"/>
      <c r="P196" s="5"/>
      <c r="Q196" s="5"/>
      <c r="R196" s="5"/>
      <c r="S196" s="5"/>
      <c r="T196" s="5"/>
    </row>
    <row r="197" spans="1:20" x14ac:dyDescent="0.3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N197" s="4"/>
      <c r="O197" s="5"/>
      <c r="P197" s="5"/>
      <c r="Q197" s="5"/>
      <c r="R197" s="5"/>
      <c r="S197" s="5"/>
      <c r="T197" s="5"/>
    </row>
    <row r="198" spans="1:20" x14ac:dyDescent="0.3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N198" s="4"/>
      <c r="O198" s="5"/>
      <c r="P198" s="5"/>
      <c r="Q198" s="5"/>
      <c r="R198" s="5"/>
      <c r="S198" s="5"/>
      <c r="T198" s="5"/>
    </row>
    <row r="199" spans="1:20" x14ac:dyDescent="0.3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N199" s="4"/>
      <c r="O199" s="5"/>
      <c r="P199" s="5"/>
      <c r="Q199" s="5"/>
      <c r="R199" s="5"/>
      <c r="S199" s="5"/>
      <c r="T199" s="5"/>
    </row>
    <row r="200" spans="1:20" x14ac:dyDescent="0.3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N200" s="4"/>
      <c r="O200" s="5"/>
      <c r="P200" s="5"/>
      <c r="Q200" s="5"/>
      <c r="R200" s="5"/>
      <c r="S200" s="5"/>
      <c r="T200" s="5"/>
    </row>
    <row r="201" spans="1:20" x14ac:dyDescent="0.3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N201" s="4"/>
      <c r="O201" s="5"/>
      <c r="P201" s="5"/>
      <c r="Q201" s="5"/>
      <c r="R201" s="5"/>
      <c r="S201" s="5"/>
      <c r="T201" s="5"/>
    </row>
    <row r="202" spans="1:20" x14ac:dyDescent="0.3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N202" s="4"/>
      <c r="O202" s="5"/>
      <c r="P202" s="5"/>
      <c r="Q202" s="5"/>
      <c r="R202" s="5"/>
      <c r="S202" s="5"/>
      <c r="T202" s="5"/>
    </row>
    <row r="203" spans="1:20" x14ac:dyDescent="0.3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N203" s="4"/>
      <c r="O203" s="5"/>
      <c r="P203" s="5"/>
      <c r="Q203" s="5"/>
      <c r="R203" s="5"/>
      <c r="S203" s="5"/>
      <c r="T203" s="5"/>
    </row>
    <row r="204" spans="1:20" x14ac:dyDescent="0.3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N204" s="4"/>
      <c r="O204" s="5"/>
      <c r="P204" s="5"/>
      <c r="Q204" s="5"/>
      <c r="R204" s="5"/>
      <c r="S204" s="5"/>
      <c r="T204" s="5"/>
    </row>
    <row r="205" spans="1:20" x14ac:dyDescent="0.3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N205" s="4"/>
      <c r="O205" s="5"/>
      <c r="P205" s="5"/>
      <c r="Q205" s="5"/>
      <c r="R205" s="5"/>
      <c r="S205" s="5"/>
      <c r="T205" s="5"/>
    </row>
    <row r="206" spans="1:20" x14ac:dyDescent="0.3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N206" s="4"/>
      <c r="O206" s="5"/>
      <c r="P206" s="5"/>
      <c r="Q206" s="5"/>
      <c r="R206" s="5"/>
      <c r="S206" s="5"/>
      <c r="T206" s="5"/>
    </row>
    <row r="207" spans="1:20" x14ac:dyDescent="0.3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N207" s="4"/>
      <c r="O207" s="5"/>
      <c r="P207" s="5"/>
      <c r="Q207" s="5"/>
      <c r="R207" s="5"/>
      <c r="S207" s="5"/>
      <c r="T207" s="5"/>
    </row>
    <row r="208" spans="1:20" x14ac:dyDescent="0.3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N208" s="4"/>
      <c r="O208" s="5"/>
      <c r="P208" s="5"/>
      <c r="Q208" s="5"/>
      <c r="R208" s="5"/>
      <c r="S208" s="5"/>
      <c r="T208" s="5"/>
    </row>
    <row r="209" spans="1:20" x14ac:dyDescent="0.3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N209" s="4"/>
      <c r="O209" s="5"/>
      <c r="P209" s="5"/>
      <c r="Q209" s="5"/>
      <c r="R209" s="5"/>
      <c r="S209" s="5"/>
      <c r="T209" s="5"/>
    </row>
    <row r="210" spans="1:20" x14ac:dyDescent="0.3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N210" s="4"/>
      <c r="O210" s="5"/>
      <c r="P210" s="5"/>
      <c r="Q210" s="5"/>
      <c r="R210" s="5"/>
      <c r="S210" s="5"/>
      <c r="T210" s="5"/>
    </row>
    <row r="211" spans="1:20" x14ac:dyDescent="0.3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N211" s="4"/>
      <c r="O211" s="5"/>
      <c r="P211" s="5"/>
      <c r="Q211" s="5"/>
      <c r="R211" s="5"/>
      <c r="S211" s="5"/>
      <c r="T211" s="5"/>
    </row>
    <row r="212" spans="1:20" x14ac:dyDescent="0.3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N212" s="4"/>
      <c r="O212" s="5"/>
      <c r="P212" s="5"/>
      <c r="Q212" s="5"/>
      <c r="R212" s="5"/>
      <c r="S212" s="5"/>
      <c r="T212" s="5"/>
    </row>
    <row r="213" spans="1:20" x14ac:dyDescent="0.3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N213" s="4"/>
      <c r="O213" s="5"/>
      <c r="P213" s="5"/>
      <c r="Q213" s="5"/>
      <c r="R213" s="5"/>
      <c r="S213" s="5"/>
      <c r="T213" s="5"/>
    </row>
    <row r="214" spans="1:20" x14ac:dyDescent="0.3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N214" s="4"/>
      <c r="O214" s="5"/>
      <c r="P214" s="5"/>
      <c r="Q214" s="5"/>
      <c r="R214" s="5"/>
      <c r="S214" s="5"/>
      <c r="T214" s="5"/>
    </row>
    <row r="215" spans="1:20" x14ac:dyDescent="0.3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N215" s="4"/>
      <c r="O215" s="5"/>
      <c r="P215" s="5"/>
      <c r="Q215" s="5"/>
      <c r="R215" s="5"/>
      <c r="S215" s="5"/>
      <c r="T215" s="5"/>
    </row>
    <row r="216" spans="1:20" x14ac:dyDescent="0.3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N216" s="4"/>
      <c r="O216" s="5"/>
      <c r="P216" s="5"/>
      <c r="Q216" s="5"/>
      <c r="R216" s="5"/>
      <c r="S216" s="5"/>
      <c r="T216" s="5"/>
    </row>
    <row r="217" spans="1:20" x14ac:dyDescent="0.3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N217" s="4"/>
      <c r="O217" s="5"/>
      <c r="P217" s="5"/>
      <c r="Q217" s="5"/>
      <c r="R217" s="5"/>
      <c r="S217" s="5"/>
      <c r="T217" s="5"/>
    </row>
    <row r="218" spans="1:20" x14ac:dyDescent="0.3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N218" s="4"/>
      <c r="O218" s="5"/>
      <c r="P218" s="5"/>
      <c r="Q218" s="5"/>
      <c r="R218" s="5"/>
      <c r="S218" s="5"/>
      <c r="T218" s="5"/>
    </row>
    <row r="219" spans="1:20" x14ac:dyDescent="0.3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N219" s="4"/>
      <c r="O219" s="5"/>
      <c r="P219" s="5"/>
      <c r="Q219" s="5"/>
      <c r="R219" s="5"/>
      <c r="S219" s="5"/>
      <c r="T219" s="5"/>
    </row>
    <row r="220" spans="1:20" x14ac:dyDescent="0.3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N220" s="4"/>
      <c r="O220" s="5"/>
      <c r="P220" s="5"/>
      <c r="Q220" s="5"/>
      <c r="R220" s="5"/>
      <c r="S220" s="5"/>
      <c r="T220" s="5"/>
    </row>
    <row r="221" spans="1:20" x14ac:dyDescent="0.3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N221" s="4"/>
      <c r="O221" s="5"/>
      <c r="P221" s="5"/>
      <c r="Q221" s="5"/>
      <c r="R221" s="5"/>
      <c r="S221" s="5"/>
      <c r="T221" s="5"/>
    </row>
    <row r="222" spans="1:20" x14ac:dyDescent="0.3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N222" s="4"/>
      <c r="O222" s="5"/>
      <c r="P222" s="5"/>
      <c r="Q222" s="5"/>
      <c r="R222" s="5"/>
      <c r="S222" s="5"/>
      <c r="T222" s="5"/>
    </row>
    <row r="223" spans="1:20" x14ac:dyDescent="0.3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N223" s="4"/>
      <c r="O223" s="5"/>
      <c r="P223" s="5"/>
      <c r="Q223" s="5"/>
      <c r="R223" s="5"/>
      <c r="S223" s="5"/>
      <c r="T223" s="5"/>
    </row>
    <row r="224" spans="1:20" x14ac:dyDescent="0.3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N224" s="4"/>
      <c r="O224" s="5"/>
      <c r="P224" s="5"/>
      <c r="Q224" s="5"/>
      <c r="R224" s="5"/>
      <c r="S224" s="5"/>
      <c r="T224" s="5"/>
    </row>
    <row r="225" spans="1:20" x14ac:dyDescent="0.3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N225" s="4"/>
      <c r="O225" s="5"/>
      <c r="P225" s="5"/>
      <c r="Q225" s="5"/>
      <c r="R225" s="5"/>
      <c r="S225" s="5"/>
      <c r="T225" s="5"/>
    </row>
    <row r="226" spans="1:20" x14ac:dyDescent="0.3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N226" s="4"/>
      <c r="O226" s="5"/>
      <c r="P226" s="5"/>
      <c r="Q226" s="5"/>
      <c r="R226" s="5"/>
      <c r="S226" s="5"/>
      <c r="T226" s="5"/>
    </row>
    <row r="227" spans="1:20" x14ac:dyDescent="0.3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N227" s="4"/>
      <c r="O227" s="5"/>
      <c r="P227" s="5"/>
      <c r="Q227" s="5"/>
      <c r="R227" s="5"/>
      <c r="S227" s="5"/>
      <c r="T227" s="5"/>
    </row>
    <row r="228" spans="1:20" x14ac:dyDescent="0.3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N228" s="4"/>
      <c r="O228" s="5"/>
      <c r="P228" s="5"/>
      <c r="Q228" s="5"/>
      <c r="R228" s="5"/>
      <c r="S228" s="5"/>
      <c r="T228" s="5"/>
    </row>
    <row r="229" spans="1:20" x14ac:dyDescent="0.3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N229" s="4"/>
      <c r="O229" s="5"/>
      <c r="P229" s="5"/>
      <c r="Q229" s="5"/>
      <c r="R229" s="5"/>
      <c r="S229" s="5"/>
      <c r="T229" s="5"/>
    </row>
    <row r="230" spans="1:20" x14ac:dyDescent="0.3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N230" s="4"/>
      <c r="O230" s="5"/>
      <c r="P230" s="5"/>
      <c r="Q230" s="5"/>
      <c r="R230" s="5"/>
      <c r="S230" s="5"/>
      <c r="T230" s="5"/>
    </row>
    <row r="231" spans="1:20" x14ac:dyDescent="0.3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N231" s="4"/>
      <c r="O231" s="5"/>
      <c r="P231" s="5"/>
      <c r="Q231" s="5"/>
      <c r="R231" s="5"/>
      <c r="S231" s="5"/>
      <c r="T231" s="5"/>
    </row>
    <row r="232" spans="1:20" x14ac:dyDescent="0.3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N232" s="4"/>
      <c r="O232" s="5"/>
      <c r="P232" s="5"/>
      <c r="Q232" s="5"/>
      <c r="R232" s="5"/>
      <c r="S232" s="5"/>
      <c r="T232" s="5"/>
    </row>
    <row r="233" spans="1:20" x14ac:dyDescent="0.3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N233" s="4"/>
      <c r="O233" s="5"/>
      <c r="P233" s="5"/>
      <c r="Q233" s="5"/>
      <c r="R233" s="5"/>
      <c r="S233" s="5"/>
      <c r="T233" s="5"/>
    </row>
    <row r="234" spans="1:20" x14ac:dyDescent="0.3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N234" s="4"/>
      <c r="O234" s="5"/>
      <c r="P234" s="5"/>
      <c r="Q234" s="5"/>
      <c r="R234" s="5"/>
      <c r="S234" s="5"/>
      <c r="T234" s="5"/>
    </row>
    <row r="235" spans="1:20" x14ac:dyDescent="0.3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N235" s="4"/>
      <c r="O235" s="5"/>
      <c r="P235" s="5"/>
      <c r="Q235" s="5"/>
      <c r="R235" s="5"/>
      <c r="S235" s="5"/>
      <c r="T235" s="5"/>
    </row>
    <row r="236" spans="1:20" x14ac:dyDescent="0.3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N236" s="4"/>
      <c r="O236" s="5"/>
      <c r="P236" s="5"/>
      <c r="Q236" s="5"/>
      <c r="R236" s="5"/>
      <c r="S236" s="5"/>
      <c r="T236" s="5"/>
    </row>
    <row r="237" spans="1:20" x14ac:dyDescent="0.3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N237" s="4"/>
      <c r="O237" s="5"/>
      <c r="P237" s="5"/>
      <c r="Q237" s="5"/>
      <c r="R237" s="5"/>
      <c r="S237" s="5"/>
      <c r="T237" s="5"/>
    </row>
    <row r="238" spans="1:20" x14ac:dyDescent="0.3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N238" s="4"/>
      <c r="O238" s="5"/>
      <c r="P238" s="5"/>
      <c r="Q238" s="5"/>
      <c r="R238" s="5"/>
      <c r="S238" s="5"/>
      <c r="T238" s="5"/>
    </row>
    <row r="239" spans="1:20" x14ac:dyDescent="0.3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N239" s="4"/>
      <c r="O239" s="5"/>
      <c r="P239" s="5"/>
      <c r="Q239" s="5"/>
      <c r="R239" s="5"/>
      <c r="S239" s="5"/>
      <c r="T239" s="5"/>
    </row>
    <row r="240" spans="1:20" x14ac:dyDescent="0.3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N240" s="4"/>
      <c r="O240" s="5"/>
      <c r="P240" s="5"/>
      <c r="Q240" s="5"/>
      <c r="R240" s="5"/>
      <c r="S240" s="5"/>
      <c r="T240" s="5"/>
    </row>
    <row r="241" spans="1:20" x14ac:dyDescent="0.3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N241" s="4"/>
      <c r="O241" s="5"/>
      <c r="P241" s="5"/>
      <c r="Q241" s="5"/>
      <c r="R241" s="5"/>
      <c r="S241" s="5"/>
      <c r="T241" s="5"/>
    </row>
    <row r="242" spans="1:20" x14ac:dyDescent="0.3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N242" s="4"/>
      <c r="O242" s="5"/>
      <c r="P242" s="5"/>
      <c r="Q242" s="5"/>
      <c r="R242" s="5"/>
      <c r="S242" s="5"/>
      <c r="T242" s="5"/>
    </row>
    <row r="243" spans="1:20" x14ac:dyDescent="0.3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N243" s="4"/>
      <c r="O243" s="5"/>
      <c r="P243" s="5"/>
      <c r="Q243" s="5"/>
      <c r="R243" s="5"/>
      <c r="S243" s="5"/>
      <c r="T243" s="5"/>
    </row>
    <row r="244" spans="1:20" x14ac:dyDescent="0.3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N244" s="4"/>
      <c r="O244" s="5"/>
      <c r="P244" s="5"/>
      <c r="Q244" s="5"/>
      <c r="R244" s="5"/>
      <c r="S244" s="5"/>
      <c r="T244" s="5"/>
    </row>
    <row r="245" spans="1:20" x14ac:dyDescent="0.3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N245" s="4"/>
      <c r="O245" s="5"/>
      <c r="P245" s="5"/>
      <c r="Q245" s="5"/>
      <c r="R245" s="5"/>
      <c r="S245" s="5"/>
      <c r="T245" s="5"/>
    </row>
    <row r="246" spans="1:20" x14ac:dyDescent="0.3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N246" s="4"/>
      <c r="O246" s="5"/>
      <c r="P246" s="5"/>
      <c r="Q246" s="5"/>
      <c r="R246" s="5"/>
      <c r="S246" s="5"/>
      <c r="T246" s="5"/>
    </row>
    <row r="247" spans="1:20" x14ac:dyDescent="0.3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N247" s="4"/>
      <c r="O247" s="5"/>
      <c r="P247" s="5"/>
      <c r="Q247" s="5"/>
      <c r="R247" s="5"/>
      <c r="S247" s="5"/>
      <c r="T247" s="5"/>
    </row>
    <row r="248" spans="1:20" x14ac:dyDescent="0.3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N248" s="4"/>
      <c r="O248" s="5"/>
      <c r="P248" s="5"/>
      <c r="Q248" s="5"/>
      <c r="R248" s="5"/>
      <c r="S248" s="5"/>
      <c r="T248" s="5"/>
    </row>
    <row r="249" spans="1:20" x14ac:dyDescent="0.3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N249" s="4"/>
      <c r="O249" s="5"/>
      <c r="P249" s="5"/>
      <c r="Q249" s="5"/>
      <c r="R249" s="5"/>
      <c r="S249" s="5"/>
      <c r="T249" s="5"/>
    </row>
    <row r="250" spans="1:20" x14ac:dyDescent="0.3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N250" s="4"/>
      <c r="O250" s="5"/>
      <c r="P250" s="5"/>
      <c r="Q250" s="5"/>
      <c r="R250" s="5"/>
      <c r="S250" s="5"/>
      <c r="T250" s="5"/>
    </row>
    <row r="251" spans="1:20" x14ac:dyDescent="0.3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N251" s="4"/>
      <c r="O251" s="5"/>
      <c r="P251" s="5"/>
      <c r="Q251" s="5"/>
      <c r="R251" s="5"/>
      <c r="S251" s="5"/>
      <c r="T251" s="5"/>
    </row>
    <row r="252" spans="1:20" x14ac:dyDescent="0.3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N252" s="4"/>
      <c r="O252" s="5"/>
      <c r="P252" s="5"/>
      <c r="Q252" s="5"/>
      <c r="R252" s="5"/>
      <c r="S252" s="5"/>
      <c r="T252" s="5"/>
    </row>
    <row r="253" spans="1:20" x14ac:dyDescent="0.3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N253" s="4"/>
      <c r="O253" s="5"/>
      <c r="P253" s="5"/>
      <c r="Q253" s="5"/>
      <c r="R253" s="5"/>
      <c r="S253" s="5"/>
      <c r="T253" s="5"/>
    </row>
    <row r="254" spans="1:20" x14ac:dyDescent="0.3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N254" s="4"/>
      <c r="O254" s="5"/>
      <c r="P254" s="5"/>
      <c r="Q254" s="5"/>
      <c r="R254" s="5"/>
      <c r="S254" s="5"/>
      <c r="T254" s="5"/>
    </row>
    <row r="255" spans="1:20" x14ac:dyDescent="0.3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N255" s="4"/>
      <c r="O255" s="5"/>
      <c r="P255" s="5"/>
      <c r="Q255" s="5"/>
      <c r="R255" s="5"/>
      <c r="S255" s="5"/>
      <c r="T255" s="5"/>
    </row>
    <row r="256" spans="1:20" x14ac:dyDescent="0.3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N256" s="4"/>
      <c r="O256" s="5"/>
      <c r="P256" s="5"/>
      <c r="Q256" s="5"/>
      <c r="R256" s="5"/>
      <c r="S256" s="5"/>
      <c r="T256" s="5"/>
    </row>
    <row r="257" spans="1:20" x14ac:dyDescent="0.3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N257" s="4"/>
      <c r="O257" s="5"/>
      <c r="P257" s="5"/>
      <c r="Q257" s="5"/>
      <c r="R257" s="5"/>
      <c r="S257" s="5"/>
      <c r="T257" s="5"/>
    </row>
    <row r="258" spans="1:20" x14ac:dyDescent="0.3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N258" s="4"/>
      <c r="O258" s="5"/>
      <c r="P258" s="5"/>
      <c r="Q258" s="5"/>
      <c r="R258" s="5"/>
      <c r="S258" s="5"/>
      <c r="T258" s="5"/>
    </row>
    <row r="259" spans="1:20" x14ac:dyDescent="0.3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N259" s="4"/>
      <c r="O259" s="5"/>
      <c r="P259" s="5"/>
      <c r="Q259" s="5"/>
      <c r="R259" s="5"/>
      <c r="S259" s="5"/>
      <c r="T259" s="5"/>
    </row>
    <row r="260" spans="1:20" x14ac:dyDescent="0.3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N260" s="4"/>
      <c r="O260" s="5"/>
      <c r="P260" s="5"/>
      <c r="Q260" s="5"/>
      <c r="R260" s="5"/>
      <c r="S260" s="5"/>
      <c r="T260" s="5"/>
    </row>
    <row r="261" spans="1:20" x14ac:dyDescent="0.3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N261" s="4"/>
      <c r="O261" s="5"/>
      <c r="P261" s="5"/>
      <c r="Q261" s="5"/>
      <c r="R261" s="5"/>
      <c r="S261" s="5"/>
      <c r="T261" s="5"/>
    </row>
    <row r="262" spans="1:20" x14ac:dyDescent="0.3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N262" s="4"/>
      <c r="O262" s="5"/>
      <c r="P262" s="5"/>
      <c r="Q262" s="5"/>
      <c r="R262" s="5"/>
      <c r="S262" s="5"/>
      <c r="T262" s="5"/>
    </row>
    <row r="263" spans="1:20" x14ac:dyDescent="0.3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N263" s="4"/>
      <c r="O263" s="5"/>
      <c r="P263" s="5"/>
      <c r="Q263" s="5"/>
      <c r="R263" s="5"/>
      <c r="S263" s="5"/>
      <c r="T263" s="5"/>
    </row>
    <row r="264" spans="1:20" x14ac:dyDescent="0.3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N264" s="4"/>
      <c r="O264" s="5"/>
      <c r="P264" s="5"/>
      <c r="Q264" s="5"/>
      <c r="R264" s="5"/>
      <c r="S264" s="5"/>
      <c r="T264" s="5"/>
    </row>
    <row r="265" spans="1:20" x14ac:dyDescent="0.3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N265" s="4"/>
      <c r="O265" s="5"/>
      <c r="P265" s="5"/>
      <c r="Q265" s="5"/>
      <c r="R265" s="5"/>
      <c r="S265" s="5"/>
      <c r="T265" s="5"/>
    </row>
    <row r="266" spans="1:20" x14ac:dyDescent="0.3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N266" s="4"/>
      <c r="O266" s="5"/>
      <c r="P266" s="5"/>
      <c r="Q266" s="5"/>
      <c r="R266" s="5"/>
      <c r="S266" s="5"/>
      <c r="T266" s="5"/>
    </row>
    <row r="267" spans="1:20" x14ac:dyDescent="0.3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N267" s="4"/>
      <c r="O267" s="5"/>
      <c r="P267" s="5"/>
      <c r="Q267" s="5"/>
      <c r="R267" s="5"/>
      <c r="S267" s="5"/>
      <c r="T267" s="5"/>
    </row>
    <row r="268" spans="1:20" x14ac:dyDescent="0.3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N268" s="4"/>
      <c r="O268" s="5"/>
      <c r="P268" s="5"/>
      <c r="Q268" s="5"/>
      <c r="R268" s="5"/>
      <c r="S268" s="5"/>
      <c r="T268" s="5"/>
    </row>
    <row r="269" spans="1:20" x14ac:dyDescent="0.3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N269" s="4"/>
      <c r="O269" s="5"/>
      <c r="P269" s="5"/>
      <c r="Q269" s="5"/>
      <c r="R269" s="5"/>
      <c r="S269" s="5"/>
      <c r="T269" s="5"/>
    </row>
    <row r="270" spans="1:20" x14ac:dyDescent="0.3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N270" s="4"/>
      <c r="O270" s="5"/>
      <c r="P270" s="5"/>
      <c r="Q270" s="5"/>
      <c r="R270" s="5"/>
      <c r="S270" s="5"/>
      <c r="T270" s="5"/>
    </row>
    <row r="271" spans="1:20" x14ac:dyDescent="0.3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N271" s="4"/>
      <c r="O271" s="5"/>
      <c r="P271" s="5"/>
      <c r="Q271" s="5"/>
      <c r="R271" s="5"/>
      <c r="S271" s="5"/>
      <c r="T271" s="5"/>
    </row>
    <row r="272" spans="1:20" x14ac:dyDescent="0.3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N272" s="4"/>
      <c r="O272" s="5"/>
      <c r="P272" s="5"/>
      <c r="Q272" s="5"/>
      <c r="R272" s="5"/>
      <c r="S272" s="5"/>
      <c r="T272" s="5"/>
    </row>
    <row r="273" spans="1:20" x14ac:dyDescent="0.3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N273" s="4"/>
      <c r="O273" s="5"/>
      <c r="P273" s="5"/>
      <c r="Q273" s="5"/>
      <c r="R273" s="5"/>
      <c r="S273" s="5"/>
      <c r="T273" s="5"/>
    </row>
    <row r="274" spans="1:20" x14ac:dyDescent="0.3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N274" s="4"/>
      <c r="O274" s="5"/>
      <c r="P274" s="5"/>
      <c r="Q274" s="5"/>
      <c r="R274" s="5"/>
      <c r="S274" s="5"/>
      <c r="T274" s="5"/>
    </row>
    <row r="275" spans="1:20" x14ac:dyDescent="0.3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N275" s="4"/>
      <c r="O275" s="5"/>
      <c r="P275" s="5"/>
      <c r="Q275" s="5"/>
      <c r="R275" s="5"/>
      <c r="S275" s="5"/>
      <c r="T275" s="5"/>
    </row>
    <row r="276" spans="1:20" x14ac:dyDescent="0.3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N276" s="4"/>
      <c r="O276" s="5"/>
      <c r="P276" s="5"/>
      <c r="Q276" s="5"/>
      <c r="R276" s="5"/>
      <c r="S276" s="5"/>
      <c r="T276" s="5"/>
    </row>
    <row r="277" spans="1:20" x14ac:dyDescent="0.3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N277" s="4"/>
      <c r="O277" s="5"/>
      <c r="P277" s="5"/>
      <c r="Q277" s="5"/>
      <c r="R277" s="5"/>
      <c r="S277" s="5"/>
      <c r="T277" s="5"/>
    </row>
    <row r="278" spans="1:20" x14ac:dyDescent="0.3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N278" s="4"/>
      <c r="O278" s="5"/>
      <c r="P278" s="5"/>
      <c r="Q278" s="5"/>
      <c r="R278" s="5"/>
      <c r="S278" s="5"/>
      <c r="T278" s="5"/>
    </row>
    <row r="279" spans="1:20" x14ac:dyDescent="0.3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N279" s="4"/>
      <c r="O279" s="5"/>
      <c r="P279" s="5"/>
      <c r="Q279" s="5"/>
      <c r="R279" s="5"/>
      <c r="S279" s="5"/>
      <c r="T279" s="5"/>
    </row>
    <row r="280" spans="1:20" x14ac:dyDescent="0.3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N280" s="4"/>
      <c r="O280" s="5"/>
      <c r="P280" s="5"/>
      <c r="Q280" s="5"/>
      <c r="R280" s="5"/>
      <c r="S280" s="5"/>
      <c r="T280" s="5"/>
    </row>
    <row r="281" spans="1:20" x14ac:dyDescent="0.3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N281" s="4"/>
      <c r="O281" s="5"/>
      <c r="P281" s="5"/>
      <c r="Q281" s="5"/>
      <c r="R281" s="5"/>
      <c r="S281" s="5"/>
      <c r="T281" s="5"/>
    </row>
    <row r="282" spans="1:20" x14ac:dyDescent="0.3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N282" s="4"/>
      <c r="O282" s="5"/>
      <c r="P282" s="5"/>
      <c r="Q282" s="5"/>
      <c r="R282" s="5"/>
      <c r="S282" s="5"/>
      <c r="T282" s="5"/>
    </row>
    <row r="283" spans="1:20" x14ac:dyDescent="0.3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N283" s="4"/>
      <c r="O283" s="5"/>
      <c r="P283" s="5"/>
      <c r="Q283" s="5"/>
      <c r="R283" s="5"/>
      <c r="S283" s="5"/>
      <c r="T283" s="5"/>
    </row>
    <row r="284" spans="1:20" x14ac:dyDescent="0.3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N284" s="4"/>
      <c r="O284" s="5"/>
      <c r="P284" s="5"/>
      <c r="Q284" s="5"/>
      <c r="R284" s="5"/>
      <c r="S284" s="5"/>
      <c r="T284" s="5"/>
    </row>
    <row r="285" spans="1:20" x14ac:dyDescent="0.3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N285" s="4"/>
      <c r="O285" s="5"/>
      <c r="P285" s="5"/>
      <c r="Q285" s="5"/>
      <c r="R285" s="5"/>
      <c r="S285" s="5"/>
      <c r="T285" s="5"/>
    </row>
    <row r="286" spans="1:20" x14ac:dyDescent="0.3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N286" s="4"/>
      <c r="O286" s="5"/>
      <c r="P286" s="5"/>
      <c r="Q286" s="5"/>
      <c r="R286" s="5"/>
      <c r="S286" s="5"/>
      <c r="T286" s="5"/>
    </row>
    <row r="287" spans="1:20" x14ac:dyDescent="0.3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N287" s="4"/>
      <c r="O287" s="5"/>
      <c r="P287" s="5"/>
      <c r="Q287" s="5"/>
      <c r="R287" s="5"/>
      <c r="S287" s="5"/>
      <c r="T287" s="5"/>
    </row>
    <row r="288" spans="1:20" x14ac:dyDescent="0.3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N288" s="4"/>
      <c r="O288" s="5"/>
      <c r="P288" s="5"/>
      <c r="Q288" s="5"/>
      <c r="R288" s="5"/>
      <c r="S288" s="5"/>
      <c r="T288" s="5"/>
    </row>
    <row r="289" spans="1:20" x14ac:dyDescent="0.3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N289" s="4"/>
      <c r="O289" s="5"/>
      <c r="P289" s="5"/>
      <c r="Q289" s="5"/>
      <c r="R289" s="5"/>
      <c r="S289" s="5"/>
      <c r="T289" s="5"/>
    </row>
    <row r="290" spans="1:20" x14ac:dyDescent="0.3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N290" s="4"/>
      <c r="O290" s="5"/>
      <c r="P290" s="5"/>
      <c r="Q290" s="5"/>
      <c r="R290" s="5"/>
      <c r="S290" s="5"/>
      <c r="T290" s="5"/>
    </row>
    <row r="291" spans="1:20" x14ac:dyDescent="0.3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N291" s="4"/>
      <c r="O291" s="5"/>
      <c r="P291" s="5"/>
      <c r="Q291" s="5"/>
      <c r="R291" s="5"/>
      <c r="S291" s="5"/>
      <c r="T291" s="5"/>
    </row>
    <row r="292" spans="1:20" x14ac:dyDescent="0.3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N292" s="4"/>
      <c r="O292" s="5"/>
      <c r="P292" s="5"/>
      <c r="Q292" s="5"/>
      <c r="R292" s="5"/>
      <c r="S292" s="5"/>
      <c r="T292" s="5"/>
    </row>
    <row r="293" spans="1:20" x14ac:dyDescent="0.3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N293" s="4"/>
      <c r="O293" s="5"/>
      <c r="P293" s="5"/>
      <c r="Q293" s="5"/>
      <c r="R293" s="5"/>
      <c r="S293" s="5"/>
      <c r="T293" s="5"/>
    </row>
    <row r="294" spans="1:20" x14ac:dyDescent="0.3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N294" s="4"/>
      <c r="O294" s="5"/>
      <c r="P294" s="5"/>
      <c r="Q294" s="5"/>
      <c r="R294" s="5"/>
      <c r="S294" s="5"/>
      <c r="T294" s="5"/>
    </row>
    <row r="295" spans="1:20" x14ac:dyDescent="0.3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N295" s="4"/>
      <c r="O295" s="5"/>
      <c r="P295" s="5"/>
      <c r="Q295" s="5"/>
      <c r="R295" s="5"/>
      <c r="S295" s="5"/>
      <c r="T295" s="5"/>
    </row>
    <row r="296" spans="1:20" x14ac:dyDescent="0.3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N296" s="4"/>
      <c r="O296" s="5"/>
      <c r="P296" s="5"/>
      <c r="Q296" s="5"/>
      <c r="R296" s="5"/>
      <c r="S296" s="5"/>
      <c r="T296" s="5"/>
    </row>
    <row r="297" spans="1:20" x14ac:dyDescent="0.3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N297" s="4"/>
      <c r="O297" s="5"/>
      <c r="P297" s="5"/>
      <c r="Q297" s="5"/>
      <c r="R297" s="5"/>
      <c r="S297" s="5"/>
      <c r="T297" s="5"/>
    </row>
    <row r="298" spans="1:20" x14ac:dyDescent="0.3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N298" s="4"/>
      <c r="O298" s="5"/>
      <c r="P298" s="5"/>
      <c r="Q298" s="5"/>
      <c r="R298" s="5"/>
      <c r="S298" s="5"/>
      <c r="T298" s="5"/>
    </row>
    <row r="299" spans="1:20" x14ac:dyDescent="0.3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N299" s="4"/>
      <c r="O299" s="5"/>
      <c r="P299" s="5"/>
      <c r="Q299" s="5"/>
      <c r="R299" s="5"/>
      <c r="S299" s="5"/>
      <c r="T299" s="5"/>
    </row>
    <row r="300" spans="1:20" x14ac:dyDescent="0.3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N300" s="4"/>
      <c r="O300" s="5"/>
      <c r="P300" s="5"/>
      <c r="Q300" s="5"/>
      <c r="R300" s="5"/>
      <c r="S300" s="5"/>
      <c r="T300" s="5"/>
    </row>
    <row r="301" spans="1:20" x14ac:dyDescent="0.3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N301" s="4"/>
      <c r="O301" s="5"/>
      <c r="P301" s="5"/>
      <c r="Q301" s="5"/>
      <c r="R301" s="5"/>
      <c r="S301" s="5"/>
      <c r="T301" s="5"/>
    </row>
    <row r="302" spans="1:20" x14ac:dyDescent="0.3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N302" s="4"/>
      <c r="O302" s="5"/>
      <c r="P302" s="5"/>
      <c r="Q302" s="5"/>
      <c r="R302" s="5"/>
      <c r="S302" s="5"/>
      <c r="T302" s="5"/>
    </row>
    <row r="303" spans="1:20" x14ac:dyDescent="0.3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N303" s="4"/>
      <c r="O303" s="5"/>
      <c r="P303" s="5"/>
      <c r="Q303" s="5"/>
      <c r="R303" s="5"/>
      <c r="S303" s="5"/>
      <c r="T303" s="5"/>
    </row>
    <row r="304" spans="1:20" x14ac:dyDescent="0.3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N304" s="4"/>
      <c r="O304" s="5"/>
      <c r="P304" s="5"/>
      <c r="Q304" s="5"/>
      <c r="R304" s="5"/>
      <c r="S304" s="5"/>
      <c r="T304" s="5"/>
    </row>
    <row r="305" spans="1:20" x14ac:dyDescent="0.3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N305" s="4"/>
      <c r="O305" s="5"/>
      <c r="P305" s="5"/>
      <c r="Q305" s="5"/>
      <c r="R305" s="5"/>
      <c r="S305" s="5"/>
      <c r="T305" s="5"/>
    </row>
    <row r="306" spans="1:20" x14ac:dyDescent="0.3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N306" s="4"/>
      <c r="O306" s="5"/>
      <c r="P306" s="5"/>
      <c r="Q306" s="5"/>
      <c r="R306" s="5"/>
      <c r="S306" s="5"/>
      <c r="T306" s="5"/>
    </row>
    <row r="307" spans="1:20" x14ac:dyDescent="0.3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N307" s="4"/>
      <c r="O307" s="5"/>
      <c r="P307" s="5"/>
      <c r="Q307" s="5"/>
      <c r="R307" s="5"/>
      <c r="S307" s="5"/>
      <c r="T307" s="5"/>
    </row>
    <row r="308" spans="1:20" x14ac:dyDescent="0.3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N308" s="4"/>
      <c r="O308" s="5"/>
      <c r="P308" s="5"/>
      <c r="Q308" s="5"/>
      <c r="R308" s="5"/>
      <c r="S308" s="5"/>
      <c r="T308" s="5"/>
    </row>
    <row r="309" spans="1:20" x14ac:dyDescent="0.3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N309" s="4"/>
      <c r="O309" s="5"/>
      <c r="P309" s="5"/>
      <c r="Q309" s="5"/>
      <c r="R309" s="5"/>
      <c r="S309" s="5"/>
      <c r="T309" s="5"/>
    </row>
    <row r="310" spans="1:20" x14ac:dyDescent="0.3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N310" s="4"/>
      <c r="O310" s="5"/>
      <c r="P310" s="5"/>
      <c r="Q310" s="5"/>
      <c r="R310" s="5"/>
      <c r="S310" s="5"/>
      <c r="T310" s="5"/>
    </row>
    <row r="311" spans="1:20" x14ac:dyDescent="0.3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N311" s="4"/>
      <c r="O311" s="5"/>
      <c r="P311" s="5"/>
      <c r="Q311" s="5"/>
      <c r="R311" s="5"/>
      <c r="S311" s="5"/>
      <c r="T311" s="5"/>
    </row>
    <row r="312" spans="1:20" x14ac:dyDescent="0.3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N312" s="4"/>
      <c r="O312" s="5"/>
      <c r="P312" s="5"/>
      <c r="Q312" s="5"/>
      <c r="R312" s="5"/>
      <c r="S312" s="5"/>
      <c r="T312" s="5"/>
    </row>
    <row r="313" spans="1:20" x14ac:dyDescent="0.3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N313" s="4"/>
      <c r="O313" s="5"/>
      <c r="P313" s="5"/>
      <c r="Q313" s="5"/>
      <c r="R313" s="5"/>
      <c r="S313" s="5"/>
      <c r="T313" s="5"/>
    </row>
    <row r="314" spans="1:20" x14ac:dyDescent="0.3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N314" s="4"/>
      <c r="O314" s="5"/>
      <c r="P314" s="5"/>
      <c r="Q314" s="5"/>
      <c r="R314" s="5"/>
      <c r="S314" s="5"/>
      <c r="T314" s="5"/>
    </row>
    <row r="315" spans="1:20" x14ac:dyDescent="0.3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N315" s="4"/>
      <c r="O315" s="5"/>
      <c r="P315" s="5"/>
      <c r="Q315" s="5"/>
      <c r="R315" s="5"/>
      <c r="S315" s="5"/>
      <c r="T315" s="5"/>
    </row>
    <row r="316" spans="1:20" x14ac:dyDescent="0.3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N316" s="4"/>
      <c r="O316" s="5"/>
      <c r="P316" s="5"/>
      <c r="Q316" s="5"/>
      <c r="R316" s="5"/>
      <c r="S316" s="5"/>
      <c r="T316" s="5"/>
    </row>
    <row r="317" spans="1:20" x14ac:dyDescent="0.3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N317" s="4"/>
      <c r="O317" s="5"/>
      <c r="P317" s="5"/>
      <c r="Q317" s="5"/>
      <c r="R317" s="5"/>
      <c r="S317" s="5"/>
      <c r="T317" s="5"/>
    </row>
    <row r="318" spans="1:20" x14ac:dyDescent="0.3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N318" s="4"/>
      <c r="O318" s="5"/>
      <c r="P318" s="5"/>
      <c r="Q318" s="5"/>
      <c r="R318" s="5"/>
      <c r="S318" s="5"/>
      <c r="T318" s="5"/>
    </row>
    <row r="319" spans="1:20" x14ac:dyDescent="0.3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N319" s="4"/>
      <c r="O319" s="5"/>
      <c r="P319" s="5"/>
      <c r="Q319" s="5"/>
      <c r="R319" s="5"/>
      <c r="S319" s="5"/>
      <c r="T319" s="5"/>
    </row>
    <row r="320" spans="1:20" x14ac:dyDescent="0.3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N320" s="4"/>
      <c r="O320" s="5"/>
      <c r="P320" s="5"/>
      <c r="Q320" s="5"/>
      <c r="R320" s="5"/>
      <c r="S320" s="5"/>
      <c r="T320" s="5"/>
    </row>
    <row r="321" spans="1:20" x14ac:dyDescent="0.3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N321" s="4"/>
      <c r="O321" s="5"/>
      <c r="P321" s="5"/>
      <c r="Q321" s="5"/>
      <c r="R321" s="5"/>
      <c r="S321" s="5"/>
      <c r="T321" s="5"/>
    </row>
    <row r="322" spans="1:20" x14ac:dyDescent="0.3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N322" s="4"/>
      <c r="O322" s="5"/>
      <c r="P322" s="5"/>
      <c r="Q322" s="5"/>
      <c r="R322" s="5"/>
      <c r="S322" s="5"/>
      <c r="T322" s="5"/>
    </row>
    <row r="323" spans="1:20" x14ac:dyDescent="0.3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N323" s="4"/>
      <c r="O323" s="5"/>
      <c r="P323" s="5"/>
      <c r="Q323" s="5"/>
      <c r="R323" s="5"/>
      <c r="S323" s="5"/>
      <c r="T323" s="5"/>
    </row>
    <row r="324" spans="1:20" x14ac:dyDescent="0.3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N324" s="4"/>
      <c r="O324" s="5"/>
      <c r="P324" s="5"/>
      <c r="Q324" s="5"/>
      <c r="R324" s="5"/>
      <c r="S324" s="5"/>
      <c r="T324" s="5"/>
    </row>
    <row r="325" spans="1:20" x14ac:dyDescent="0.3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N325" s="4"/>
      <c r="O325" s="5"/>
      <c r="P325" s="5"/>
      <c r="Q325" s="5"/>
      <c r="R325" s="5"/>
      <c r="S325" s="5"/>
      <c r="T325" s="5"/>
    </row>
    <row r="326" spans="1:20" x14ac:dyDescent="0.3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N326" s="4"/>
      <c r="O326" s="5"/>
      <c r="P326" s="5"/>
      <c r="Q326" s="5"/>
      <c r="R326" s="5"/>
      <c r="S326" s="5"/>
      <c r="T326" s="5"/>
    </row>
    <row r="327" spans="1:20" x14ac:dyDescent="0.3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N327" s="4"/>
      <c r="O327" s="5"/>
      <c r="P327" s="5"/>
      <c r="Q327" s="5"/>
      <c r="R327" s="5"/>
      <c r="S327" s="5"/>
      <c r="T327" s="5"/>
    </row>
    <row r="328" spans="1:20" x14ac:dyDescent="0.3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N328" s="4"/>
      <c r="O328" s="5"/>
      <c r="P328" s="5"/>
      <c r="Q328" s="5"/>
      <c r="R328" s="5"/>
      <c r="S328" s="5"/>
      <c r="T328" s="5"/>
    </row>
    <row r="329" spans="1:20" x14ac:dyDescent="0.3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N329" s="4"/>
      <c r="O329" s="5"/>
      <c r="P329" s="5"/>
      <c r="Q329" s="5"/>
      <c r="R329" s="5"/>
      <c r="S329" s="5"/>
      <c r="T329" s="5"/>
    </row>
    <row r="330" spans="1:20" x14ac:dyDescent="0.3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N330" s="4"/>
      <c r="O330" s="5"/>
      <c r="P330" s="5"/>
      <c r="Q330" s="5"/>
      <c r="R330" s="5"/>
      <c r="S330" s="5"/>
      <c r="T330" s="5"/>
    </row>
    <row r="331" spans="1:20" x14ac:dyDescent="0.3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N331" s="4"/>
      <c r="O331" s="5"/>
      <c r="P331" s="5"/>
      <c r="Q331" s="5"/>
      <c r="R331" s="5"/>
      <c r="S331" s="5"/>
      <c r="T331" s="5"/>
    </row>
    <row r="332" spans="1:20" x14ac:dyDescent="0.3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N332" s="4"/>
      <c r="O332" s="5"/>
      <c r="P332" s="5"/>
      <c r="Q332" s="5"/>
      <c r="R332" s="5"/>
      <c r="S332" s="5"/>
      <c r="T332" s="5"/>
    </row>
    <row r="333" spans="1:20" x14ac:dyDescent="0.3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N333" s="4"/>
      <c r="O333" s="5"/>
      <c r="P333" s="5"/>
      <c r="Q333" s="5"/>
      <c r="R333" s="5"/>
      <c r="S333" s="5"/>
      <c r="T333" s="5"/>
    </row>
    <row r="334" spans="1:20" x14ac:dyDescent="0.3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N334" s="4"/>
      <c r="O334" s="5"/>
      <c r="P334" s="5"/>
      <c r="Q334" s="5"/>
      <c r="R334" s="5"/>
      <c r="S334" s="5"/>
      <c r="T334" s="5"/>
    </row>
    <row r="335" spans="1:20" x14ac:dyDescent="0.3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N335" s="4"/>
      <c r="O335" s="5"/>
      <c r="P335" s="5"/>
      <c r="Q335" s="5"/>
      <c r="R335" s="5"/>
      <c r="S335" s="5"/>
      <c r="T335" s="5"/>
    </row>
    <row r="336" spans="1:20" x14ac:dyDescent="0.3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N336" s="4"/>
      <c r="O336" s="5"/>
      <c r="P336" s="5"/>
      <c r="Q336" s="5"/>
      <c r="R336" s="5"/>
      <c r="S336" s="5"/>
      <c r="T336" s="5"/>
    </row>
    <row r="337" spans="1:20" x14ac:dyDescent="0.3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N337" s="4"/>
      <c r="O337" s="5"/>
      <c r="P337" s="5"/>
      <c r="Q337" s="5"/>
      <c r="R337" s="5"/>
      <c r="S337" s="5"/>
      <c r="T337" s="5"/>
    </row>
    <row r="338" spans="1:20" x14ac:dyDescent="0.3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N338" s="4"/>
      <c r="O338" s="5"/>
      <c r="P338" s="5"/>
      <c r="Q338" s="5"/>
      <c r="R338" s="5"/>
      <c r="S338" s="5"/>
      <c r="T338" s="5"/>
    </row>
    <row r="339" spans="1:20" x14ac:dyDescent="0.3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N339" s="4"/>
      <c r="O339" s="5"/>
      <c r="P339" s="5"/>
      <c r="Q339" s="5"/>
      <c r="R339" s="5"/>
      <c r="S339" s="5"/>
      <c r="T339" s="5"/>
    </row>
    <row r="340" spans="1:20" x14ac:dyDescent="0.3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N340" s="4"/>
      <c r="O340" s="5"/>
      <c r="P340" s="5"/>
      <c r="Q340" s="5"/>
      <c r="R340" s="5"/>
      <c r="S340" s="5"/>
      <c r="T340" s="5"/>
    </row>
    <row r="341" spans="1:20" x14ac:dyDescent="0.3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N341" s="4"/>
      <c r="O341" s="5"/>
      <c r="P341" s="5"/>
      <c r="Q341" s="5"/>
      <c r="R341" s="5"/>
      <c r="S341" s="5"/>
      <c r="T341" s="5"/>
    </row>
    <row r="342" spans="1:20" x14ac:dyDescent="0.3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N342" s="4"/>
      <c r="O342" s="5"/>
      <c r="P342" s="5"/>
      <c r="Q342" s="5"/>
      <c r="R342" s="5"/>
      <c r="S342" s="5"/>
      <c r="T342" s="5"/>
    </row>
    <row r="343" spans="1:20" x14ac:dyDescent="0.3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N343" s="4"/>
      <c r="O343" s="5"/>
      <c r="P343" s="5"/>
      <c r="Q343" s="5"/>
      <c r="R343" s="5"/>
      <c r="S343" s="5"/>
      <c r="T343" s="5"/>
    </row>
    <row r="344" spans="1:20" x14ac:dyDescent="0.3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N344" s="4"/>
      <c r="O344" s="5"/>
      <c r="P344" s="5"/>
      <c r="Q344" s="5"/>
      <c r="R344" s="5"/>
      <c r="S344" s="5"/>
      <c r="T344" s="5"/>
    </row>
    <row r="345" spans="1:20" x14ac:dyDescent="0.3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N345" s="4"/>
      <c r="O345" s="5"/>
      <c r="P345" s="5"/>
      <c r="Q345" s="5"/>
      <c r="R345" s="5"/>
      <c r="S345" s="5"/>
      <c r="T345" s="5"/>
    </row>
    <row r="346" spans="1:20" x14ac:dyDescent="0.3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N346" s="4"/>
      <c r="O346" s="5"/>
      <c r="P346" s="5"/>
      <c r="Q346" s="5"/>
      <c r="R346" s="5"/>
      <c r="S346" s="5"/>
      <c r="T346" s="5"/>
    </row>
    <row r="347" spans="1:20" x14ac:dyDescent="0.3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N347" s="4"/>
      <c r="O347" s="5"/>
      <c r="P347" s="5"/>
      <c r="Q347" s="5"/>
      <c r="R347" s="5"/>
      <c r="S347" s="5"/>
      <c r="T347" s="5"/>
    </row>
    <row r="348" spans="1:20" x14ac:dyDescent="0.3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N348" s="4"/>
      <c r="O348" s="5"/>
      <c r="P348" s="5"/>
      <c r="Q348" s="5"/>
      <c r="R348" s="5"/>
      <c r="S348" s="5"/>
      <c r="T348" s="5"/>
    </row>
    <row r="349" spans="1:20" x14ac:dyDescent="0.3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N349" s="4"/>
      <c r="O349" s="5"/>
      <c r="P349" s="5"/>
      <c r="Q349" s="5"/>
      <c r="R349" s="5"/>
      <c r="S349" s="5"/>
      <c r="T349" s="5"/>
    </row>
    <row r="350" spans="1:20" x14ac:dyDescent="0.3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N350" s="4"/>
      <c r="O350" s="5"/>
      <c r="P350" s="5"/>
      <c r="Q350" s="5"/>
      <c r="R350" s="5"/>
      <c r="S350" s="5"/>
      <c r="T350" s="5"/>
    </row>
    <row r="351" spans="1:20" x14ac:dyDescent="0.3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N351" s="4"/>
      <c r="O351" s="5"/>
      <c r="P351" s="5"/>
      <c r="Q351" s="5"/>
      <c r="R351" s="5"/>
      <c r="S351" s="5"/>
      <c r="T351" s="5"/>
    </row>
    <row r="352" spans="1:20" x14ac:dyDescent="0.3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N352" s="4"/>
      <c r="O352" s="5"/>
      <c r="P352" s="5"/>
      <c r="Q352" s="5"/>
      <c r="R352" s="5"/>
      <c r="S352" s="5"/>
      <c r="T352" s="5"/>
    </row>
    <row r="353" spans="1:20" x14ac:dyDescent="0.3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N353" s="4"/>
      <c r="O353" s="5"/>
      <c r="P353" s="5"/>
      <c r="Q353" s="5"/>
      <c r="R353" s="5"/>
      <c r="S353" s="5"/>
      <c r="T353" s="5"/>
    </row>
    <row r="354" spans="1:20" x14ac:dyDescent="0.3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N354" s="4"/>
      <c r="O354" s="5"/>
      <c r="P354" s="5"/>
      <c r="Q354" s="5"/>
      <c r="R354" s="5"/>
      <c r="S354" s="5"/>
      <c r="T354" s="5"/>
    </row>
    <row r="355" spans="1:20" x14ac:dyDescent="0.3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N355" s="4"/>
      <c r="O355" s="5"/>
      <c r="P355" s="5"/>
      <c r="Q355" s="5"/>
      <c r="R355" s="5"/>
      <c r="S355" s="5"/>
      <c r="T355" s="5"/>
    </row>
    <row r="356" spans="1:20" x14ac:dyDescent="0.3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N356" s="4"/>
      <c r="O356" s="5"/>
      <c r="P356" s="5"/>
      <c r="Q356" s="5"/>
      <c r="R356" s="5"/>
      <c r="S356" s="5"/>
      <c r="T356" s="5"/>
    </row>
    <row r="357" spans="1:20" x14ac:dyDescent="0.3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N357" s="4"/>
      <c r="O357" s="5"/>
      <c r="P357" s="5"/>
      <c r="Q357" s="5"/>
      <c r="R357" s="5"/>
      <c r="S357" s="5"/>
      <c r="T357" s="5"/>
    </row>
    <row r="358" spans="1:20" x14ac:dyDescent="0.3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N358" s="4"/>
      <c r="O358" s="5"/>
      <c r="P358" s="5"/>
      <c r="Q358" s="5"/>
      <c r="R358" s="5"/>
      <c r="S358" s="5"/>
      <c r="T358" s="5"/>
    </row>
    <row r="359" spans="1:20" x14ac:dyDescent="0.3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N359" s="4"/>
      <c r="O359" s="5"/>
      <c r="P359" s="5"/>
      <c r="Q359" s="5"/>
      <c r="R359" s="5"/>
      <c r="S359" s="5"/>
      <c r="T359" s="5"/>
    </row>
    <row r="360" spans="1:20" x14ac:dyDescent="0.3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N360" s="4"/>
      <c r="O360" s="5"/>
      <c r="P360" s="5"/>
      <c r="Q360" s="5"/>
      <c r="R360" s="5"/>
      <c r="S360" s="5"/>
      <c r="T360" s="5"/>
    </row>
    <row r="361" spans="1:20" x14ac:dyDescent="0.3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N361" s="4"/>
      <c r="O361" s="5"/>
      <c r="P361" s="5"/>
      <c r="Q361" s="5"/>
      <c r="R361" s="5"/>
      <c r="S361" s="5"/>
      <c r="T361" s="5"/>
    </row>
    <row r="362" spans="1:20" x14ac:dyDescent="0.3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N362" s="4"/>
      <c r="O362" s="5"/>
      <c r="P362" s="5"/>
      <c r="Q362" s="5"/>
      <c r="R362" s="5"/>
      <c r="S362" s="5"/>
      <c r="T362" s="5"/>
    </row>
    <row r="363" spans="1:20" x14ac:dyDescent="0.3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N363" s="4"/>
      <c r="O363" s="5"/>
      <c r="P363" s="5"/>
      <c r="Q363" s="5"/>
      <c r="R363" s="5"/>
      <c r="S363" s="5"/>
      <c r="T363" s="5"/>
    </row>
    <row r="364" spans="1:20" x14ac:dyDescent="0.3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N364" s="4"/>
      <c r="O364" s="5"/>
      <c r="P364" s="5"/>
      <c r="Q364" s="5"/>
      <c r="R364" s="5"/>
      <c r="S364" s="5"/>
      <c r="T364" s="5"/>
    </row>
    <row r="365" spans="1:20" x14ac:dyDescent="0.3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N365" s="4"/>
      <c r="O365" s="5"/>
      <c r="P365" s="5"/>
      <c r="Q365" s="5"/>
      <c r="R365" s="5"/>
      <c r="S365" s="5"/>
      <c r="T365" s="5"/>
    </row>
    <row r="366" spans="1:20" x14ac:dyDescent="0.3">
      <c r="A366" s="2"/>
      <c r="B366" s="6"/>
      <c r="C366" s="3"/>
      <c r="D366" s="3"/>
      <c r="E366" s="3"/>
      <c r="F366" s="3"/>
      <c r="G366" s="3"/>
      <c r="H366" s="3"/>
      <c r="I366" s="3"/>
      <c r="J366" s="3"/>
      <c r="K366" s="3"/>
      <c r="L366" s="3"/>
      <c r="N366" s="4"/>
      <c r="O366" s="5"/>
      <c r="P366" s="5"/>
      <c r="Q366" s="5"/>
      <c r="R366" s="5"/>
      <c r="S366" s="5"/>
      <c r="T366"/>
    </row>
    <row r="367" spans="1:20" x14ac:dyDescent="0.3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N367" s="4"/>
      <c r="O367" s="5"/>
      <c r="P367" s="5"/>
      <c r="Q367" s="5"/>
      <c r="R367" s="5"/>
      <c r="S367" s="5"/>
      <c r="T367" s="5"/>
    </row>
    <row r="368" spans="1:20" x14ac:dyDescent="0.3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N368" s="4"/>
      <c r="O368" s="5"/>
      <c r="P368" s="5"/>
      <c r="Q368" s="5"/>
      <c r="R368" s="5"/>
      <c r="S368" s="5"/>
      <c r="T368" s="5"/>
    </row>
    <row r="369" spans="1:20" x14ac:dyDescent="0.3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N369" s="4"/>
      <c r="O369" s="5"/>
      <c r="P369" s="5"/>
      <c r="Q369" s="5"/>
      <c r="R369" s="5"/>
      <c r="S369" s="5"/>
      <c r="T369" s="5"/>
    </row>
    <row r="370" spans="1:20" x14ac:dyDescent="0.3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N370" s="4"/>
      <c r="O370" s="5"/>
      <c r="P370" s="5"/>
      <c r="Q370" s="5"/>
      <c r="R370" s="5"/>
      <c r="S370" s="5"/>
      <c r="T370" s="5"/>
    </row>
    <row r="371" spans="1:20" x14ac:dyDescent="0.3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N371" s="4"/>
      <c r="O371" s="5"/>
      <c r="P371" s="5"/>
      <c r="Q371" s="5"/>
      <c r="R371" s="5"/>
      <c r="S371" s="5"/>
      <c r="T371" s="5"/>
    </row>
    <row r="372" spans="1:20" x14ac:dyDescent="0.3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N372" s="4"/>
      <c r="O372" s="5"/>
      <c r="P372" s="5"/>
      <c r="Q372" s="5"/>
      <c r="R372" s="5"/>
      <c r="S372" s="5"/>
      <c r="T372" s="5"/>
    </row>
    <row r="373" spans="1:20" x14ac:dyDescent="0.3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N373" s="4"/>
      <c r="O373" s="5"/>
      <c r="P373" s="5"/>
      <c r="Q373" s="5"/>
      <c r="R373" s="5"/>
      <c r="S373" s="5"/>
      <c r="T373" s="5"/>
    </row>
    <row r="374" spans="1:20" x14ac:dyDescent="0.3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N374" s="4"/>
      <c r="O374" s="5"/>
      <c r="P374" s="5"/>
      <c r="Q374" s="5"/>
      <c r="R374" s="5"/>
      <c r="S374" s="5"/>
      <c r="T374" s="5"/>
    </row>
    <row r="375" spans="1:20" x14ac:dyDescent="0.3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N375" s="4"/>
      <c r="O375" s="5"/>
      <c r="P375" s="5"/>
      <c r="Q375" s="5"/>
      <c r="R375" s="5"/>
      <c r="S375" s="5"/>
      <c r="T375" s="5"/>
    </row>
    <row r="376" spans="1:20" x14ac:dyDescent="0.3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N376" s="4"/>
      <c r="O376" s="5"/>
      <c r="P376" s="5"/>
      <c r="Q376" s="5"/>
      <c r="R376" s="5"/>
      <c r="S376" s="5"/>
      <c r="T376" s="5"/>
    </row>
    <row r="377" spans="1:20" x14ac:dyDescent="0.3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N377" s="4"/>
      <c r="O377" s="5"/>
      <c r="P377" s="5"/>
      <c r="Q377" s="5"/>
      <c r="R377" s="5"/>
      <c r="S377" s="5"/>
      <c r="T377" s="5"/>
    </row>
    <row r="378" spans="1:20" x14ac:dyDescent="0.3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N378" s="4"/>
      <c r="O378" s="5"/>
      <c r="P378" s="5"/>
      <c r="Q378" s="5"/>
      <c r="R378" s="5"/>
      <c r="S378" s="5"/>
      <c r="T378" s="5"/>
    </row>
    <row r="379" spans="1:20" x14ac:dyDescent="0.3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N379" s="4"/>
      <c r="O379" s="5"/>
      <c r="P379" s="5"/>
      <c r="Q379" s="5"/>
      <c r="R379" s="5"/>
      <c r="S379" s="5"/>
      <c r="T379" s="5"/>
    </row>
    <row r="380" spans="1:20" x14ac:dyDescent="0.3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N380" s="4"/>
      <c r="O380" s="5"/>
      <c r="P380" s="5"/>
      <c r="Q380" s="5"/>
      <c r="R380" s="5"/>
      <c r="S380" s="5"/>
      <c r="T380" s="5"/>
    </row>
    <row r="381" spans="1:20" x14ac:dyDescent="0.3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N381" s="4"/>
      <c r="O381" s="5"/>
      <c r="P381" s="5"/>
      <c r="Q381" s="5"/>
      <c r="R381" s="5"/>
      <c r="S381" s="5"/>
      <c r="T381" s="5"/>
    </row>
    <row r="382" spans="1:20" x14ac:dyDescent="0.3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N382" s="4"/>
      <c r="O382" s="5"/>
      <c r="P382" s="5"/>
      <c r="Q382" s="5"/>
      <c r="R382" s="5"/>
      <c r="S382" s="5"/>
      <c r="T382" s="5"/>
    </row>
    <row r="383" spans="1:20" x14ac:dyDescent="0.3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N383" s="4"/>
      <c r="O383" s="5"/>
      <c r="P383" s="5"/>
      <c r="Q383" s="5"/>
      <c r="R383" s="5"/>
      <c r="S383" s="5"/>
      <c r="T383" s="5"/>
    </row>
    <row r="384" spans="1:20" x14ac:dyDescent="0.3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N384" s="4"/>
      <c r="O384" s="5"/>
      <c r="P384" s="5"/>
      <c r="Q384" s="5"/>
      <c r="R384" s="5"/>
      <c r="S384" s="5"/>
      <c r="T384" s="5"/>
    </row>
    <row r="385" spans="1:20" x14ac:dyDescent="0.3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N385" s="4"/>
      <c r="O385" s="5"/>
      <c r="P385" s="5"/>
      <c r="Q385" s="5"/>
      <c r="R385" s="5"/>
      <c r="S385" s="5"/>
      <c r="T385" s="5"/>
    </row>
    <row r="386" spans="1:20" x14ac:dyDescent="0.3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N386" s="4"/>
      <c r="O386" s="5"/>
      <c r="P386" s="5"/>
      <c r="Q386" s="5"/>
      <c r="R386" s="5"/>
      <c r="S386" s="5"/>
      <c r="T386" s="5"/>
    </row>
    <row r="387" spans="1:20" x14ac:dyDescent="0.3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N387" s="4"/>
      <c r="O387" s="5"/>
      <c r="P387" s="5"/>
      <c r="Q387" s="5"/>
      <c r="R387" s="5"/>
      <c r="S387" s="5"/>
      <c r="T387" s="5"/>
    </row>
    <row r="388" spans="1:20" x14ac:dyDescent="0.3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N388" s="4"/>
      <c r="O388" s="5"/>
      <c r="P388" s="5"/>
      <c r="Q388" s="5"/>
      <c r="R388" s="5"/>
      <c r="S388" s="5"/>
      <c r="T388" s="5"/>
    </row>
    <row r="389" spans="1:20" x14ac:dyDescent="0.3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N389" s="4"/>
      <c r="O389" s="5"/>
      <c r="P389" s="5"/>
      <c r="Q389" s="5"/>
      <c r="R389" s="5"/>
      <c r="S389" s="5"/>
      <c r="T389" s="5"/>
    </row>
    <row r="390" spans="1:20" x14ac:dyDescent="0.3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N390" s="4"/>
      <c r="O390" s="5"/>
      <c r="P390" s="5"/>
      <c r="Q390" s="5"/>
      <c r="R390" s="5"/>
      <c r="S390" s="5"/>
      <c r="T390" s="5"/>
    </row>
    <row r="391" spans="1:20" x14ac:dyDescent="0.3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N391" s="4"/>
      <c r="O391" s="5"/>
      <c r="P391" s="5"/>
      <c r="Q391" s="5"/>
      <c r="R391" s="5"/>
      <c r="S391" s="5"/>
      <c r="T391" s="5"/>
    </row>
    <row r="392" spans="1:20" x14ac:dyDescent="0.3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N392" s="4"/>
      <c r="O392" s="5"/>
      <c r="P392" s="5"/>
      <c r="Q392" s="5"/>
      <c r="R392" s="5"/>
      <c r="S392" s="5"/>
      <c r="T392" s="5"/>
    </row>
    <row r="393" spans="1:20" x14ac:dyDescent="0.3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N393" s="4"/>
      <c r="O393" s="5"/>
      <c r="P393" s="5"/>
      <c r="Q393" s="5"/>
      <c r="R393" s="5"/>
      <c r="S393" s="5"/>
      <c r="T393" s="5"/>
    </row>
    <row r="394" spans="1:20" x14ac:dyDescent="0.3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N394" s="4"/>
      <c r="O394" s="5"/>
      <c r="P394" s="5"/>
      <c r="Q394" s="5"/>
      <c r="R394" s="5"/>
      <c r="S394" s="5"/>
      <c r="T394" s="5"/>
    </row>
    <row r="395" spans="1:20" x14ac:dyDescent="0.3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N395" s="4"/>
      <c r="O395" s="5"/>
      <c r="P395" s="5"/>
      <c r="Q395" s="5"/>
      <c r="R395" s="5"/>
      <c r="S395" s="5"/>
      <c r="T395" s="5"/>
    </row>
    <row r="396" spans="1:20" x14ac:dyDescent="0.3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N396" s="4"/>
      <c r="O396" s="5"/>
      <c r="P396" s="5"/>
      <c r="Q396" s="5"/>
      <c r="R396" s="5"/>
      <c r="S396" s="5"/>
      <c r="T396" s="5"/>
    </row>
    <row r="397" spans="1:20" x14ac:dyDescent="0.3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N397" s="4"/>
      <c r="O397" s="5"/>
      <c r="P397" s="5"/>
      <c r="Q397" s="5"/>
      <c r="R397" s="5"/>
      <c r="S397" s="5"/>
      <c r="T397" s="5"/>
    </row>
    <row r="398" spans="1:20" x14ac:dyDescent="0.3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N398" s="4"/>
      <c r="O398" s="5"/>
      <c r="P398" s="5"/>
      <c r="Q398" s="5"/>
      <c r="R398" s="5"/>
      <c r="S398" s="5"/>
      <c r="T398" s="5"/>
    </row>
    <row r="399" spans="1:20" x14ac:dyDescent="0.3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N399" s="4"/>
      <c r="O399" s="5"/>
      <c r="P399" s="5"/>
      <c r="Q399" s="5"/>
      <c r="R399" s="5"/>
      <c r="S399" s="5"/>
      <c r="T399" s="5"/>
    </row>
    <row r="400" spans="1:20" x14ac:dyDescent="0.3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N400" s="4"/>
      <c r="O400" s="5"/>
      <c r="P400" s="5"/>
      <c r="Q400" s="5"/>
      <c r="R400" s="5"/>
      <c r="S400" s="5"/>
      <c r="T400" s="5"/>
    </row>
    <row r="401" spans="1:20" x14ac:dyDescent="0.3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N401" s="4"/>
      <c r="O401" s="5"/>
      <c r="P401" s="5"/>
      <c r="Q401" s="5"/>
      <c r="R401" s="5"/>
      <c r="S401" s="5"/>
      <c r="T401" s="5"/>
    </row>
    <row r="402" spans="1:20" x14ac:dyDescent="0.3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N402" s="4"/>
      <c r="O402" s="5"/>
      <c r="P402" s="5"/>
      <c r="Q402" s="5"/>
      <c r="R402" s="5"/>
      <c r="S402" s="5"/>
      <c r="T402" s="5"/>
    </row>
    <row r="403" spans="1:20" x14ac:dyDescent="0.3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N403" s="4"/>
      <c r="O403" s="5"/>
      <c r="P403" s="5"/>
      <c r="Q403" s="5"/>
      <c r="R403" s="5"/>
      <c r="S403" s="5"/>
      <c r="T403" s="5"/>
    </row>
    <row r="404" spans="1:20" x14ac:dyDescent="0.3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N404" s="4"/>
      <c r="O404" s="5"/>
      <c r="P404" s="5"/>
      <c r="Q404" s="5"/>
      <c r="R404" s="5"/>
      <c r="S404" s="5"/>
      <c r="T404" s="5"/>
    </row>
    <row r="405" spans="1:20" x14ac:dyDescent="0.3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N405" s="4"/>
      <c r="O405" s="5"/>
      <c r="P405" s="5"/>
      <c r="Q405" s="5"/>
      <c r="R405" s="5"/>
      <c r="S405" s="5"/>
      <c r="T405" s="5"/>
    </row>
    <row r="406" spans="1:20" x14ac:dyDescent="0.3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N406" s="4"/>
      <c r="O406" s="5"/>
      <c r="P406" s="5"/>
      <c r="Q406" s="5"/>
      <c r="R406" s="5"/>
      <c r="S406" s="5"/>
      <c r="T406" s="5"/>
    </row>
    <row r="407" spans="1:20" x14ac:dyDescent="0.3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N407" s="4"/>
      <c r="O407" s="5"/>
      <c r="P407" s="5"/>
      <c r="Q407" s="5"/>
      <c r="R407" s="5"/>
      <c r="S407" s="5"/>
      <c r="T407" s="5"/>
    </row>
    <row r="408" spans="1:20" x14ac:dyDescent="0.3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N408" s="4"/>
      <c r="O408" s="5"/>
      <c r="P408" s="5"/>
      <c r="Q408" s="5"/>
      <c r="R408" s="5"/>
      <c r="S408" s="5"/>
      <c r="T408" s="5"/>
    </row>
    <row r="409" spans="1:20" x14ac:dyDescent="0.3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N409" s="4"/>
      <c r="O409" s="5"/>
      <c r="P409" s="5"/>
      <c r="Q409" s="5"/>
      <c r="R409" s="5"/>
      <c r="S409" s="5"/>
      <c r="T409" s="5"/>
    </row>
    <row r="410" spans="1:20" x14ac:dyDescent="0.3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N410" s="4"/>
      <c r="O410" s="5"/>
      <c r="P410" s="5"/>
      <c r="Q410" s="5"/>
      <c r="R410" s="5"/>
      <c r="S410" s="5"/>
      <c r="T410" s="5"/>
    </row>
    <row r="411" spans="1:20" x14ac:dyDescent="0.3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N411" s="4"/>
      <c r="O411" s="5"/>
      <c r="P411" s="5"/>
      <c r="Q411" s="5"/>
      <c r="R411" s="5"/>
      <c r="S411" s="5"/>
      <c r="T411" s="5"/>
    </row>
    <row r="412" spans="1:20" x14ac:dyDescent="0.3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N412" s="4"/>
      <c r="O412" s="5"/>
      <c r="P412" s="5"/>
      <c r="Q412" s="5"/>
      <c r="R412" s="5"/>
      <c r="S412" s="5"/>
      <c r="T412" s="5"/>
    </row>
    <row r="413" spans="1:20" x14ac:dyDescent="0.3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N413" s="4"/>
      <c r="O413" s="5"/>
      <c r="P413" s="5"/>
      <c r="Q413" s="5"/>
      <c r="R413" s="5"/>
      <c r="S413" s="5"/>
      <c r="T413" s="5"/>
    </row>
    <row r="414" spans="1:20" x14ac:dyDescent="0.3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N414" s="4"/>
      <c r="O414" s="5"/>
      <c r="P414" s="5"/>
      <c r="Q414" s="5"/>
      <c r="R414" s="5"/>
      <c r="S414" s="5"/>
      <c r="T414" s="5"/>
    </row>
    <row r="415" spans="1:20" x14ac:dyDescent="0.3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N415" s="4"/>
      <c r="O415" s="5"/>
      <c r="P415" s="5"/>
      <c r="Q415" s="5"/>
      <c r="R415" s="5"/>
      <c r="S415" s="5"/>
      <c r="T415" s="5"/>
    </row>
    <row r="416" spans="1:20" x14ac:dyDescent="0.3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N416" s="4"/>
      <c r="O416" s="5"/>
      <c r="P416" s="5"/>
      <c r="Q416" s="5"/>
      <c r="R416" s="5"/>
      <c r="S416" s="5"/>
      <c r="T416" s="5"/>
    </row>
    <row r="417" spans="1:20" x14ac:dyDescent="0.3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N417" s="4"/>
      <c r="O417" s="5"/>
      <c r="P417" s="5"/>
      <c r="Q417" s="5"/>
      <c r="R417" s="5"/>
      <c r="S417" s="5"/>
      <c r="T417" s="5"/>
    </row>
    <row r="418" spans="1:20" x14ac:dyDescent="0.3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N418" s="4"/>
      <c r="O418" s="5"/>
      <c r="P418" s="5"/>
      <c r="Q418" s="5"/>
      <c r="R418" s="5"/>
      <c r="S418" s="5"/>
      <c r="T418" s="5"/>
    </row>
    <row r="419" spans="1:20" x14ac:dyDescent="0.3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N419" s="4"/>
      <c r="O419" s="5"/>
      <c r="P419" s="5"/>
      <c r="Q419" s="5"/>
      <c r="R419" s="5"/>
      <c r="S419" s="5"/>
      <c r="T419" s="5"/>
    </row>
    <row r="420" spans="1:20" x14ac:dyDescent="0.3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N420" s="4"/>
      <c r="O420" s="5"/>
      <c r="P420" s="5"/>
      <c r="Q420" s="5"/>
      <c r="R420" s="5"/>
      <c r="S420" s="5"/>
      <c r="T420" s="5"/>
    </row>
    <row r="421" spans="1:20" x14ac:dyDescent="0.3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N421" s="4"/>
      <c r="O421" s="5"/>
      <c r="P421" s="5"/>
      <c r="Q421" s="5"/>
      <c r="R421" s="5"/>
      <c r="S421" s="5"/>
      <c r="T421" s="5"/>
    </row>
    <row r="422" spans="1:20" x14ac:dyDescent="0.3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N422" s="4"/>
      <c r="O422" s="5"/>
      <c r="P422" s="5"/>
      <c r="Q422" s="5"/>
      <c r="R422" s="5"/>
      <c r="S422" s="5"/>
      <c r="T422" s="5"/>
    </row>
    <row r="423" spans="1:20" x14ac:dyDescent="0.3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N423" s="4"/>
      <c r="O423" s="5"/>
      <c r="P423" s="5"/>
      <c r="Q423" s="5"/>
      <c r="R423" s="5"/>
      <c r="S423" s="5"/>
      <c r="T423" s="5"/>
    </row>
    <row r="424" spans="1:20" x14ac:dyDescent="0.3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N424" s="4"/>
      <c r="O424" s="5"/>
      <c r="P424" s="5"/>
      <c r="Q424" s="5"/>
      <c r="R424" s="5"/>
      <c r="S424" s="5"/>
      <c r="T424" s="5"/>
    </row>
    <row r="425" spans="1:20" x14ac:dyDescent="0.3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N425" s="4"/>
      <c r="O425" s="5"/>
      <c r="P425" s="5"/>
      <c r="Q425" s="5"/>
      <c r="R425" s="5"/>
      <c r="S425" s="5"/>
      <c r="T425" s="5"/>
    </row>
    <row r="426" spans="1:20" x14ac:dyDescent="0.3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N426" s="4"/>
      <c r="O426" s="5"/>
      <c r="P426" s="5"/>
      <c r="Q426" s="5"/>
      <c r="R426" s="5"/>
      <c r="S426" s="5"/>
      <c r="T426" s="5"/>
    </row>
    <row r="427" spans="1:20" x14ac:dyDescent="0.3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N427" s="4"/>
      <c r="O427" s="5"/>
      <c r="P427" s="5"/>
      <c r="Q427" s="5"/>
      <c r="R427" s="5"/>
      <c r="S427" s="5"/>
      <c r="T427" s="5"/>
    </row>
    <row r="428" spans="1:20" x14ac:dyDescent="0.3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N428" s="4"/>
      <c r="O428" s="5"/>
      <c r="P428" s="5"/>
      <c r="Q428" s="5"/>
      <c r="R428" s="5"/>
      <c r="S428" s="5"/>
      <c r="T428" s="5"/>
    </row>
    <row r="429" spans="1:20" x14ac:dyDescent="0.3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N429" s="4"/>
      <c r="O429" s="5"/>
      <c r="P429" s="5"/>
      <c r="Q429" s="5"/>
      <c r="R429" s="5"/>
      <c r="S429" s="5"/>
      <c r="T429" s="5"/>
    </row>
    <row r="430" spans="1:20" x14ac:dyDescent="0.3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N430" s="4"/>
      <c r="O430" s="5"/>
      <c r="P430" s="5"/>
      <c r="Q430" s="5"/>
      <c r="R430" s="5"/>
      <c r="S430" s="5"/>
      <c r="T430" s="5"/>
    </row>
    <row r="431" spans="1:20" x14ac:dyDescent="0.3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N431" s="4"/>
      <c r="O431" s="5"/>
      <c r="P431" s="5"/>
      <c r="Q431" s="5"/>
      <c r="R431" s="5"/>
      <c r="S431" s="5"/>
      <c r="T431" s="5"/>
    </row>
    <row r="432" spans="1:20" x14ac:dyDescent="0.3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N432" s="4"/>
      <c r="O432" s="5"/>
      <c r="P432" s="5"/>
      <c r="Q432" s="5"/>
      <c r="R432" s="5"/>
      <c r="S432" s="5"/>
      <c r="T432" s="5"/>
    </row>
    <row r="433" spans="1:20" x14ac:dyDescent="0.3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N433" s="4"/>
      <c r="O433" s="5"/>
      <c r="P433" s="5"/>
      <c r="Q433" s="5"/>
      <c r="R433" s="5"/>
      <c r="S433" s="5"/>
      <c r="T433" s="5"/>
    </row>
    <row r="434" spans="1:20" x14ac:dyDescent="0.3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N434" s="4"/>
      <c r="O434" s="5"/>
      <c r="P434" s="5"/>
      <c r="Q434" s="5"/>
      <c r="R434" s="5"/>
      <c r="S434" s="5"/>
      <c r="T434" s="5"/>
    </row>
    <row r="435" spans="1:20" x14ac:dyDescent="0.3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N435" s="4"/>
      <c r="O435" s="5"/>
      <c r="P435" s="5"/>
      <c r="Q435" s="5"/>
      <c r="R435" s="5"/>
      <c r="S435" s="5"/>
      <c r="T435" s="5"/>
    </row>
    <row r="436" spans="1:20" x14ac:dyDescent="0.3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N436" s="4"/>
      <c r="O436" s="5"/>
      <c r="P436" s="5"/>
      <c r="Q436" s="5"/>
      <c r="R436" s="5"/>
      <c r="S436" s="5"/>
      <c r="T436" s="5"/>
    </row>
    <row r="437" spans="1:20" x14ac:dyDescent="0.3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N437" s="4"/>
      <c r="O437" s="5"/>
      <c r="P437" s="5"/>
      <c r="Q437" s="5"/>
      <c r="R437" s="5"/>
      <c r="S437" s="5"/>
      <c r="T437" s="5"/>
    </row>
    <row r="438" spans="1:20" x14ac:dyDescent="0.3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N438" s="4"/>
      <c r="O438" s="5"/>
      <c r="P438" s="5"/>
      <c r="Q438" s="5"/>
      <c r="R438" s="5"/>
      <c r="S438" s="5"/>
      <c r="T438" s="5"/>
    </row>
    <row r="439" spans="1:20" x14ac:dyDescent="0.3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N439" s="4"/>
      <c r="O439" s="5"/>
      <c r="P439" s="5"/>
      <c r="Q439" s="5"/>
      <c r="R439" s="5"/>
      <c r="S439" s="5"/>
      <c r="T439" s="5"/>
    </row>
    <row r="440" spans="1:20" x14ac:dyDescent="0.3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N440" s="4"/>
      <c r="O440" s="5"/>
      <c r="P440" s="5"/>
      <c r="Q440" s="5"/>
      <c r="R440" s="5"/>
      <c r="S440" s="5"/>
      <c r="T440" s="5"/>
    </row>
    <row r="441" spans="1:20" x14ac:dyDescent="0.3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N441" s="4"/>
      <c r="O441" s="5"/>
      <c r="P441" s="5"/>
      <c r="Q441" s="5"/>
      <c r="R441" s="5"/>
      <c r="S441" s="5"/>
      <c r="T441" s="5"/>
    </row>
    <row r="442" spans="1:20" x14ac:dyDescent="0.3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N442" s="4"/>
      <c r="O442" s="5"/>
      <c r="P442" s="5"/>
      <c r="Q442" s="5"/>
      <c r="R442" s="5"/>
      <c r="S442" s="5"/>
      <c r="T442" s="5"/>
    </row>
    <row r="443" spans="1:20" x14ac:dyDescent="0.3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N443" s="4"/>
      <c r="O443" s="5"/>
      <c r="P443" s="5"/>
      <c r="Q443" s="5"/>
      <c r="R443" s="5"/>
      <c r="S443" s="5"/>
      <c r="T443" s="5"/>
    </row>
    <row r="444" spans="1:20" x14ac:dyDescent="0.3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N444" s="4"/>
      <c r="O444" s="5"/>
      <c r="P444" s="5"/>
      <c r="Q444" s="5"/>
      <c r="R444" s="5"/>
      <c r="S444" s="5"/>
      <c r="T444" s="5"/>
    </row>
    <row r="445" spans="1:20" x14ac:dyDescent="0.3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N445" s="4"/>
      <c r="O445" s="5"/>
      <c r="P445" s="5"/>
      <c r="Q445" s="5"/>
      <c r="R445" s="5"/>
      <c r="S445" s="5"/>
      <c r="T445" s="5"/>
    </row>
    <row r="446" spans="1:20" x14ac:dyDescent="0.3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N446" s="4"/>
      <c r="O446" s="5"/>
      <c r="P446" s="5"/>
      <c r="Q446" s="5"/>
      <c r="R446" s="5"/>
      <c r="S446" s="5"/>
      <c r="T446" s="5"/>
    </row>
    <row r="447" spans="1:20" x14ac:dyDescent="0.3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N447" s="4"/>
      <c r="O447" s="5"/>
      <c r="P447" s="5"/>
      <c r="Q447" s="5"/>
      <c r="R447" s="5"/>
      <c r="S447" s="5"/>
      <c r="T447" s="5"/>
    </row>
    <row r="448" spans="1:20" x14ac:dyDescent="0.3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N448" s="4"/>
      <c r="O448" s="5"/>
      <c r="P448" s="5"/>
      <c r="Q448" s="5"/>
      <c r="R448" s="5"/>
      <c r="S448" s="5"/>
      <c r="T448" s="5"/>
    </row>
    <row r="449" spans="1:20" x14ac:dyDescent="0.3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N449" s="4"/>
      <c r="O449" s="5"/>
      <c r="P449" s="5"/>
      <c r="Q449" s="5"/>
      <c r="R449" s="5"/>
      <c r="S449" s="5"/>
      <c r="T449" s="5"/>
    </row>
    <row r="450" spans="1:20" x14ac:dyDescent="0.3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N450" s="4"/>
      <c r="O450" s="5"/>
      <c r="P450" s="5"/>
      <c r="Q450" s="5"/>
      <c r="R450" s="5"/>
      <c r="S450" s="5"/>
      <c r="T450" s="5"/>
    </row>
    <row r="451" spans="1:20" x14ac:dyDescent="0.3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N451" s="4"/>
      <c r="O451" s="5"/>
      <c r="P451" s="5"/>
      <c r="Q451" s="5"/>
      <c r="R451" s="5"/>
      <c r="S451" s="5"/>
      <c r="T451" s="5"/>
    </row>
    <row r="452" spans="1:20" x14ac:dyDescent="0.3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N452" s="4"/>
      <c r="O452" s="5"/>
      <c r="P452" s="5"/>
      <c r="Q452" s="5"/>
      <c r="R452" s="5"/>
      <c r="S452" s="5"/>
      <c r="T452" s="5"/>
    </row>
    <row r="453" spans="1:20" x14ac:dyDescent="0.3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N453" s="4"/>
      <c r="O453" s="5"/>
      <c r="P453" s="5"/>
      <c r="Q453" s="5"/>
      <c r="R453" s="5"/>
      <c r="S453" s="5"/>
      <c r="T453" s="5"/>
    </row>
    <row r="454" spans="1:20" x14ac:dyDescent="0.3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N454" s="4"/>
      <c r="O454" s="5"/>
      <c r="P454" s="5"/>
      <c r="Q454" s="5"/>
      <c r="R454" s="5"/>
      <c r="S454" s="5"/>
      <c r="T454" s="5"/>
    </row>
    <row r="455" spans="1:20" x14ac:dyDescent="0.3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N455" s="4"/>
      <c r="O455" s="5"/>
      <c r="P455" s="5"/>
      <c r="Q455" s="5"/>
      <c r="R455" s="5"/>
      <c r="S455" s="5"/>
      <c r="T455" s="5"/>
    </row>
    <row r="456" spans="1:20" x14ac:dyDescent="0.3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N456" s="4"/>
      <c r="O456" s="5"/>
      <c r="P456" s="5"/>
      <c r="Q456" s="5"/>
      <c r="R456" s="5"/>
      <c r="S456" s="5"/>
      <c r="T456" s="5"/>
    </row>
    <row r="457" spans="1:20" x14ac:dyDescent="0.3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N457" s="4"/>
      <c r="O457" s="5"/>
      <c r="P457" s="5"/>
      <c r="Q457" s="5"/>
      <c r="R457" s="5"/>
      <c r="S457" s="5"/>
      <c r="T457" s="5"/>
    </row>
    <row r="458" spans="1:20" x14ac:dyDescent="0.3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N458" s="4"/>
      <c r="O458" s="5"/>
      <c r="P458" s="5"/>
      <c r="Q458" s="5"/>
      <c r="R458" s="5"/>
      <c r="S458" s="5"/>
      <c r="T458" s="5"/>
    </row>
    <row r="459" spans="1:20" x14ac:dyDescent="0.3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N459" s="4"/>
      <c r="O459" s="5"/>
      <c r="P459" s="5"/>
      <c r="Q459" s="5"/>
      <c r="R459" s="5"/>
      <c r="S459" s="5"/>
      <c r="T459" s="5"/>
    </row>
    <row r="460" spans="1:20" x14ac:dyDescent="0.3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N460" s="4"/>
      <c r="O460" s="5"/>
      <c r="P460" s="5"/>
      <c r="Q460" s="5"/>
      <c r="R460" s="5"/>
      <c r="S460" s="5"/>
      <c r="T460" s="5"/>
    </row>
    <row r="461" spans="1:20" x14ac:dyDescent="0.3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N461" s="4"/>
      <c r="O461" s="5"/>
      <c r="P461" s="5"/>
      <c r="Q461" s="5"/>
      <c r="R461" s="5"/>
      <c r="S461" s="5"/>
      <c r="T461" s="5"/>
    </row>
    <row r="462" spans="1:20" x14ac:dyDescent="0.3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N462" s="4"/>
      <c r="O462" s="5"/>
      <c r="P462" s="5"/>
      <c r="Q462" s="5"/>
      <c r="R462" s="5"/>
      <c r="S462" s="5"/>
      <c r="T462" s="5"/>
    </row>
    <row r="463" spans="1:20" x14ac:dyDescent="0.3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N463" s="4"/>
      <c r="O463" s="5"/>
      <c r="P463" s="5"/>
      <c r="Q463" s="5"/>
      <c r="R463" s="5"/>
      <c r="S463" s="5"/>
      <c r="T463" s="5"/>
    </row>
    <row r="464" spans="1:20" x14ac:dyDescent="0.3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N464" s="4"/>
      <c r="O464" s="5"/>
      <c r="P464" s="5"/>
      <c r="Q464" s="5"/>
      <c r="R464" s="5"/>
      <c r="S464" s="5"/>
      <c r="T464" s="5"/>
    </row>
    <row r="465" spans="1:20" x14ac:dyDescent="0.3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N465" s="4"/>
      <c r="O465" s="5"/>
      <c r="P465" s="5"/>
      <c r="Q465" s="5"/>
      <c r="R465" s="5"/>
      <c r="S465" s="5"/>
      <c r="T465" s="5"/>
    </row>
    <row r="466" spans="1:20" x14ac:dyDescent="0.3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N466" s="4"/>
      <c r="O466" s="5"/>
      <c r="P466" s="5"/>
      <c r="Q466" s="5"/>
      <c r="R466" s="5"/>
      <c r="S466" s="5"/>
      <c r="T466" s="5"/>
    </row>
    <row r="467" spans="1:20" x14ac:dyDescent="0.3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N467" s="4"/>
      <c r="O467" s="5"/>
      <c r="P467" s="5"/>
      <c r="Q467" s="5"/>
      <c r="R467" s="5"/>
      <c r="S467" s="5"/>
      <c r="T467" s="5"/>
    </row>
    <row r="468" spans="1:20" x14ac:dyDescent="0.3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N468" s="4"/>
      <c r="O468" s="5"/>
      <c r="P468" s="5"/>
      <c r="Q468" s="5"/>
      <c r="R468" s="5"/>
      <c r="S468" s="5"/>
      <c r="T468" s="5"/>
    </row>
    <row r="469" spans="1:20" x14ac:dyDescent="0.3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N469" s="4"/>
      <c r="O469" s="5"/>
      <c r="P469" s="5"/>
      <c r="Q469" s="5"/>
      <c r="R469" s="5"/>
      <c r="S469" s="5"/>
      <c r="T469" s="5"/>
    </row>
    <row r="470" spans="1:20" x14ac:dyDescent="0.3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N470" s="4"/>
      <c r="O470" s="5"/>
      <c r="P470" s="5"/>
      <c r="Q470" s="5"/>
      <c r="R470" s="5"/>
      <c r="S470" s="5"/>
      <c r="T470" s="5"/>
    </row>
    <row r="471" spans="1:20" x14ac:dyDescent="0.3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N471" s="4"/>
      <c r="O471" s="5"/>
      <c r="P471" s="5"/>
      <c r="Q471" s="5"/>
      <c r="R471" s="5"/>
      <c r="S471" s="5"/>
      <c r="T471" s="5"/>
    </row>
    <row r="472" spans="1:20" x14ac:dyDescent="0.3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N472" s="4"/>
      <c r="O472" s="5"/>
      <c r="P472" s="5"/>
      <c r="Q472" s="5"/>
      <c r="R472" s="5"/>
      <c r="S472" s="5"/>
      <c r="T472" s="5"/>
    </row>
    <row r="473" spans="1:20" x14ac:dyDescent="0.3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N473" s="4"/>
      <c r="O473" s="5"/>
      <c r="P473" s="5"/>
      <c r="Q473" s="5"/>
      <c r="R473" s="5"/>
      <c r="S473" s="5"/>
      <c r="T473" s="5"/>
    </row>
    <row r="474" spans="1:20" x14ac:dyDescent="0.3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N474" s="4"/>
      <c r="O474" s="5"/>
      <c r="P474" s="5"/>
      <c r="Q474" s="5"/>
      <c r="R474" s="5"/>
      <c r="S474" s="5"/>
      <c r="T474" s="5"/>
    </row>
    <row r="475" spans="1:20" x14ac:dyDescent="0.3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N475" s="4"/>
      <c r="O475" s="5"/>
      <c r="P475" s="5"/>
      <c r="Q475" s="5"/>
      <c r="R475" s="5"/>
      <c r="S475" s="5"/>
      <c r="T475" s="5"/>
    </row>
    <row r="476" spans="1:20" x14ac:dyDescent="0.3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N476" s="4"/>
      <c r="O476" s="5"/>
      <c r="P476" s="5"/>
      <c r="Q476" s="5"/>
      <c r="R476" s="5"/>
      <c r="S476" s="5"/>
      <c r="T476" s="5"/>
    </row>
    <row r="477" spans="1:20" x14ac:dyDescent="0.3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N477" s="4"/>
      <c r="O477" s="5"/>
      <c r="P477" s="5"/>
      <c r="Q477" s="5"/>
      <c r="R477" s="5"/>
      <c r="S477" s="5"/>
      <c r="T477" s="5"/>
    </row>
    <row r="478" spans="1:20" x14ac:dyDescent="0.3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N478" s="4"/>
      <c r="O478" s="5"/>
      <c r="P478" s="5"/>
      <c r="Q478" s="5"/>
      <c r="R478" s="5"/>
      <c r="S478" s="5"/>
      <c r="T478" s="5"/>
    </row>
    <row r="479" spans="1:20" x14ac:dyDescent="0.3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N479" s="4"/>
      <c r="O479" s="5"/>
      <c r="P479" s="5"/>
      <c r="Q479" s="5"/>
      <c r="R479" s="5"/>
      <c r="S479" s="5"/>
      <c r="T479" s="5"/>
    </row>
    <row r="480" spans="1:20" x14ac:dyDescent="0.3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N480" s="4"/>
      <c r="O480" s="5"/>
      <c r="P480" s="5"/>
      <c r="Q480" s="5"/>
      <c r="R480" s="5"/>
      <c r="S480" s="5"/>
      <c r="T480" s="5"/>
    </row>
    <row r="481" spans="1:20" x14ac:dyDescent="0.3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N481" s="4"/>
      <c r="O481" s="5"/>
      <c r="P481" s="5"/>
      <c r="Q481" s="5"/>
      <c r="R481" s="5"/>
      <c r="S481" s="5"/>
      <c r="T481" s="5"/>
    </row>
    <row r="482" spans="1:20" x14ac:dyDescent="0.3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N482" s="4"/>
      <c r="O482" s="5"/>
      <c r="P482" s="5"/>
      <c r="Q482" s="5"/>
      <c r="R482" s="5"/>
      <c r="S482" s="5"/>
      <c r="T482" s="5"/>
    </row>
    <row r="483" spans="1:20" x14ac:dyDescent="0.3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N483" s="4"/>
      <c r="O483" s="5"/>
      <c r="P483" s="5"/>
      <c r="Q483" s="5"/>
      <c r="R483" s="5"/>
      <c r="S483" s="5"/>
      <c r="T483" s="5"/>
    </row>
    <row r="484" spans="1:20" x14ac:dyDescent="0.3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N484" s="4"/>
      <c r="O484" s="5"/>
      <c r="P484" s="5"/>
      <c r="Q484" s="5"/>
      <c r="R484" s="5"/>
      <c r="S484" s="5"/>
      <c r="T484" s="5"/>
    </row>
    <row r="485" spans="1:20" x14ac:dyDescent="0.3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N485" s="4"/>
      <c r="O485" s="5"/>
      <c r="P485" s="5"/>
      <c r="Q485" s="5"/>
      <c r="R485" s="5"/>
      <c r="S485" s="5"/>
      <c r="T485" s="5"/>
    </row>
    <row r="486" spans="1:20" x14ac:dyDescent="0.3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N486" s="4"/>
      <c r="O486" s="5"/>
      <c r="P486" s="5"/>
      <c r="Q486" s="5"/>
      <c r="R486" s="5"/>
      <c r="S486" s="5"/>
      <c r="T486" s="5"/>
    </row>
    <row r="487" spans="1:20" x14ac:dyDescent="0.3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N487" s="4"/>
      <c r="O487" s="5"/>
      <c r="P487" s="5"/>
      <c r="Q487" s="5"/>
      <c r="R487" s="5"/>
      <c r="S487" s="5"/>
      <c r="T487" s="5"/>
    </row>
    <row r="488" spans="1:20" x14ac:dyDescent="0.3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N488" s="4"/>
      <c r="O488" s="5"/>
      <c r="P488" s="5"/>
      <c r="Q488" s="5"/>
      <c r="R488" s="5"/>
      <c r="S488" s="5"/>
      <c r="T488" s="5"/>
    </row>
    <row r="489" spans="1:20" x14ac:dyDescent="0.3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N489" s="4"/>
      <c r="O489" s="5"/>
      <c r="P489" s="5"/>
      <c r="Q489" s="5"/>
      <c r="R489" s="5"/>
      <c r="S489" s="5"/>
      <c r="T489" s="5"/>
    </row>
    <row r="490" spans="1:20" x14ac:dyDescent="0.3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N490" s="4"/>
      <c r="O490" s="5"/>
      <c r="P490" s="5"/>
      <c r="Q490" s="5"/>
      <c r="R490" s="5"/>
      <c r="S490" s="5"/>
      <c r="T490" s="5"/>
    </row>
    <row r="491" spans="1:20" x14ac:dyDescent="0.3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N491" s="4"/>
      <c r="O491" s="5"/>
      <c r="P491" s="5"/>
      <c r="Q491" s="5"/>
      <c r="R491" s="5"/>
      <c r="S491" s="5"/>
      <c r="T491" s="5"/>
    </row>
    <row r="492" spans="1:20" x14ac:dyDescent="0.3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N492" s="4"/>
      <c r="O492" s="5"/>
      <c r="P492" s="5"/>
      <c r="Q492" s="5"/>
      <c r="R492" s="5"/>
      <c r="S492" s="5"/>
      <c r="T492" s="5"/>
    </row>
    <row r="493" spans="1:20" x14ac:dyDescent="0.3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N493" s="4"/>
      <c r="O493" s="5"/>
      <c r="P493" s="5"/>
      <c r="Q493" s="5"/>
      <c r="R493" s="5"/>
      <c r="S493" s="5"/>
      <c r="T493" s="5"/>
    </row>
    <row r="494" spans="1:20" x14ac:dyDescent="0.3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N494" s="4"/>
      <c r="O494" s="5"/>
      <c r="P494" s="5"/>
      <c r="Q494" s="5"/>
      <c r="R494" s="5"/>
      <c r="S494" s="5"/>
      <c r="T494" s="5"/>
    </row>
    <row r="495" spans="1:20" x14ac:dyDescent="0.3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N495" s="4"/>
      <c r="O495" s="5"/>
      <c r="P495" s="5"/>
      <c r="Q495" s="5"/>
      <c r="R495" s="5"/>
      <c r="S495" s="5"/>
      <c r="T495" s="5"/>
    </row>
    <row r="496" spans="1:20" x14ac:dyDescent="0.3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N496" s="4"/>
      <c r="O496" s="5"/>
      <c r="P496" s="5"/>
      <c r="Q496" s="5"/>
      <c r="R496" s="5"/>
      <c r="S496" s="5"/>
      <c r="T496" s="5"/>
    </row>
    <row r="497" spans="1:20" x14ac:dyDescent="0.3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N497" s="4"/>
      <c r="O497" s="5"/>
      <c r="P497" s="5"/>
      <c r="Q497" s="5"/>
      <c r="R497" s="5"/>
      <c r="S497" s="5"/>
      <c r="T497" s="5"/>
    </row>
    <row r="498" spans="1:20" x14ac:dyDescent="0.3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N498" s="4"/>
      <c r="O498" s="5"/>
      <c r="P498" s="5"/>
      <c r="Q498" s="5"/>
      <c r="R498" s="5"/>
      <c r="S498" s="5"/>
      <c r="T498" s="5"/>
    </row>
    <row r="499" spans="1:20" x14ac:dyDescent="0.3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N499" s="4"/>
      <c r="O499" s="5"/>
      <c r="P499" s="5"/>
      <c r="Q499" s="5"/>
      <c r="R499" s="5"/>
      <c r="S499" s="5"/>
      <c r="T499" s="5"/>
    </row>
    <row r="500" spans="1:20" x14ac:dyDescent="0.3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N500" s="4"/>
      <c r="O500" s="5"/>
      <c r="P500" s="5"/>
      <c r="Q500" s="5"/>
      <c r="R500" s="5"/>
      <c r="S500" s="5"/>
      <c r="T500" s="5"/>
    </row>
    <row r="501" spans="1:20" x14ac:dyDescent="0.3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N501" s="4"/>
      <c r="O501" s="5"/>
      <c r="P501" s="5"/>
      <c r="Q501" s="5"/>
      <c r="R501" s="5"/>
      <c r="S501" s="5"/>
      <c r="T501" s="5"/>
    </row>
    <row r="502" spans="1:20" x14ac:dyDescent="0.3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N502" s="4"/>
      <c r="O502" s="5"/>
      <c r="P502" s="5"/>
      <c r="Q502" s="5"/>
      <c r="R502" s="5"/>
      <c r="S502" s="5"/>
      <c r="T502" s="5"/>
    </row>
    <row r="503" spans="1:20" x14ac:dyDescent="0.3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N503" s="4"/>
      <c r="O503" s="5"/>
      <c r="P503" s="5"/>
      <c r="Q503" s="5"/>
      <c r="R503" s="5"/>
      <c r="S503" s="5"/>
      <c r="T503" s="5"/>
    </row>
    <row r="504" spans="1:20" x14ac:dyDescent="0.3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N504" s="4"/>
      <c r="O504" s="5"/>
      <c r="P504" s="5"/>
      <c r="Q504" s="5"/>
      <c r="R504" s="5"/>
      <c r="S504" s="5"/>
      <c r="T504" s="5"/>
    </row>
    <row r="505" spans="1:20" x14ac:dyDescent="0.3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N505" s="4"/>
      <c r="O505" s="5"/>
      <c r="P505" s="5"/>
      <c r="Q505" s="5"/>
      <c r="R505" s="5"/>
      <c r="S505" s="5"/>
      <c r="T505" s="5"/>
    </row>
    <row r="506" spans="1:20" x14ac:dyDescent="0.3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N506" s="4"/>
      <c r="O506" s="5"/>
      <c r="P506" s="5"/>
      <c r="Q506" s="5"/>
      <c r="R506" s="5"/>
      <c r="S506" s="5"/>
      <c r="T506" s="5"/>
    </row>
    <row r="507" spans="1:20" x14ac:dyDescent="0.3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N507" s="4"/>
      <c r="O507" s="5"/>
      <c r="P507" s="5"/>
      <c r="Q507" s="5"/>
      <c r="R507" s="5"/>
      <c r="S507" s="5"/>
      <c r="T507" s="5"/>
    </row>
    <row r="508" spans="1:20" x14ac:dyDescent="0.3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N508" s="4"/>
      <c r="O508" s="5"/>
      <c r="P508" s="5"/>
      <c r="Q508" s="5"/>
      <c r="R508" s="5"/>
      <c r="S508" s="5"/>
      <c r="T508" s="5"/>
    </row>
    <row r="509" spans="1:20" x14ac:dyDescent="0.3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N509" s="4"/>
      <c r="O509" s="5"/>
      <c r="P509" s="5"/>
      <c r="Q509" s="5"/>
      <c r="R509" s="5"/>
      <c r="S509" s="5"/>
      <c r="T509" s="5"/>
    </row>
    <row r="510" spans="1:20" x14ac:dyDescent="0.3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N510" s="4"/>
      <c r="O510" s="5"/>
      <c r="P510" s="5"/>
      <c r="Q510" s="5"/>
      <c r="R510" s="5"/>
      <c r="S510" s="5"/>
      <c r="T510" s="5"/>
    </row>
    <row r="511" spans="1:20" x14ac:dyDescent="0.3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N511" s="4"/>
      <c r="O511" s="5"/>
      <c r="P511" s="5"/>
      <c r="Q511" s="5"/>
      <c r="R511" s="5"/>
      <c r="S511" s="5"/>
      <c r="T511" s="5"/>
    </row>
    <row r="512" spans="1:20" x14ac:dyDescent="0.3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N512" s="4"/>
      <c r="O512" s="5"/>
      <c r="P512" s="5"/>
      <c r="Q512" s="5"/>
      <c r="R512" s="5"/>
      <c r="S512" s="5"/>
      <c r="T512" s="5"/>
    </row>
    <row r="513" spans="1:20" x14ac:dyDescent="0.3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N513" s="4"/>
      <c r="O513" s="5"/>
      <c r="P513" s="5"/>
      <c r="Q513" s="5"/>
      <c r="R513" s="5"/>
      <c r="S513" s="5"/>
      <c r="T513" s="5"/>
    </row>
    <row r="514" spans="1:20" x14ac:dyDescent="0.3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N514" s="4"/>
      <c r="O514" s="5"/>
      <c r="P514" s="5"/>
      <c r="Q514" s="5"/>
      <c r="R514" s="5"/>
      <c r="S514" s="5"/>
      <c r="T514" s="5"/>
    </row>
    <row r="515" spans="1:20" x14ac:dyDescent="0.3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N515" s="4"/>
      <c r="O515" s="5"/>
      <c r="P515" s="5"/>
      <c r="Q515" s="5"/>
      <c r="R515" s="5"/>
      <c r="S515" s="5"/>
      <c r="T515" s="5"/>
    </row>
    <row r="516" spans="1:20" x14ac:dyDescent="0.3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N516" s="4"/>
      <c r="O516" s="5"/>
      <c r="P516" s="5"/>
      <c r="Q516" s="5"/>
      <c r="R516" s="5"/>
      <c r="S516" s="5"/>
      <c r="T516" s="5"/>
    </row>
    <row r="517" spans="1:20" x14ac:dyDescent="0.3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N517" s="4"/>
      <c r="O517" s="5"/>
      <c r="P517" s="5"/>
      <c r="Q517" s="5"/>
      <c r="R517" s="5"/>
      <c r="S517" s="5"/>
      <c r="T517" s="5"/>
    </row>
    <row r="518" spans="1:20" x14ac:dyDescent="0.3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N518" s="4"/>
      <c r="O518" s="5"/>
      <c r="P518" s="5"/>
      <c r="Q518" s="5"/>
      <c r="R518" s="5"/>
      <c r="S518" s="5"/>
      <c r="T518" s="5"/>
    </row>
    <row r="519" spans="1:20" x14ac:dyDescent="0.3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N519" s="4"/>
      <c r="O519" s="5"/>
      <c r="P519" s="5"/>
      <c r="Q519" s="5"/>
      <c r="R519" s="5"/>
      <c r="S519" s="5"/>
      <c r="T519" s="5"/>
    </row>
    <row r="520" spans="1:20" x14ac:dyDescent="0.3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N520" s="4"/>
      <c r="O520" s="5"/>
      <c r="P520" s="5"/>
      <c r="Q520" s="5"/>
      <c r="R520" s="5"/>
      <c r="S520" s="5"/>
      <c r="T520" s="5"/>
    </row>
    <row r="521" spans="1:20" x14ac:dyDescent="0.3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N521" s="4"/>
      <c r="O521" s="5"/>
      <c r="P521" s="5"/>
      <c r="Q521" s="5"/>
      <c r="R521" s="5"/>
      <c r="S521" s="5"/>
      <c r="T521" s="5"/>
    </row>
    <row r="522" spans="1:20" x14ac:dyDescent="0.3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N522" s="4"/>
      <c r="O522" s="5"/>
      <c r="P522" s="5"/>
      <c r="Q522" s="5"/>
      <c r="R522" s="5"/>
      <c r="S522" s="5"/>
      <c r="T522" s="5"/>
    </row>
    <row r="523" spans="1:20" x14ac:dyDescent="0.3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N523" s="4"/>
      <c r="O523" s="5"/>
      <c r="P523" s="5"/>
      <c r="Q523" s="5"/>
      <c r="R523" s="5"/>
      <c r="S523" s="5"/>
      <c r="T523" s="5"/>
    </row>
    <row r="524" spans="1:20" x14ac:dyDescent="0.3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N524" s="4"/>
      <c r="O524" s="5"/>
      <c r="P524" s="5"/>
      <c r="Q524" s="5"/>
      <c r="R524" s="5"/>
      <c r="S524" s="5"/>
      <c r="T524" s="5"/>
    </row>
    <row r="525" spans="1:20" x14ac:dyDescent="0.3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N525" s="4"/>
      <c r="O525" s="5"/>
      <c r="P525" s="5"/>
      <c r="Q525" s="5"/>
      <c r="R525" s="5"/>
      <c r="S525" s="5"/>
      <c r="T525" s="5"/>
    </row>
    <row r="526" spans="1:20" x14ac:dyDescent="0.3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N526" s="4"/>
      <c r="O526" s="5"/>
      <c r="P526" s="5"/>
      <c r="Q526" s="5"/>
      <c r="R526" s="5"/>
      <c r="S526" s="5"/>
      <c r="T526" s="5"/>
    </row>
    <row r="527" spans="1:20" x14ac:dyDescent="0.3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N527" s="4"/>
      <c r="O527" s="5"/>
      <c r="P527" s="5"/>
      <c r="Q527" s="5"/>
      <c r="R527" s="5"/>
      <c r="S527" s="5"/>
      <c r="T527" s="5"/>
    </row>
    <row r="528" spans="1:20" x14ac:dyDescent="0.3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N528" s="4"/>
      <c r="O528" s="5"/>
      <c r="P528" s="5"/>
      <c r="Q528" s="5"/>
      <c r="R528" s="5"/>
      <c r="S528" s="5"/>
      <c r="T528" s="5"/>
    </row>
    <row r="529" spans="1:20" x14ac:dyDescent="0.3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N529" s="4"/>
      <c r="O529" s="5"/>
      <c r="P529" s="5"/>
      <c r="Q529" s="5"/>
      <c r="R529" s="5"/>
      <c r="S529" s="5"/>
      <c r="T529" s="5"/>
    </row>
    <row r="530" spans="1:20" x14ac:dyDescent="0.3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N530" s="4"/>
      <c r="O530" s="5"/>
      <c r="P530" s="5"/>
      <c r="Q530" s="5"/>
      <c r="R530" s="5"/>
      <c r="S530" s="5"/>
      <c r="T530" s="5"/>
    </row>
    <row r="531" spans="1:20" x14ac:dyDescent="0.3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N531" s="4"/>
      <c r="O531" s="5"/>
      <c r="P531" s="5"/>
      <c r="Q531" s="5"/>
      <c r="R531" s="5"/>
      <c r="S531" s="5"/>
      <c r="T531" s="5"/>
    </row>
    <row r="532" spans="1:20" x14ac:dyDescent="0.3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N532" s="4"/>
      <c r="O532" s="5"/>
      <c r="P532" s="5"/>
      <c r="Q532" s="5"/>
      <c r="R532" s="5"/>
      <c r="S532" s="5"/>
      <c r="T532" s="5"/>
    </row>
    <row r="533" spans="1:20" x14ac:dyDescent="0.3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N533" s="4"/>
      <c r="O533" s="5"/>
      <c r="P533" s="5"/>
      <c r="Q533" s="5"/>
      <c r="R533" s="5"/>
      <c r="S533" s="5"/>
      <c r="T533" s="5"/>
    </row>
    <row r="534" spans="1:20" x14ac:dyDescent="0.3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N534" s="4"/>
      <c r="O534" s="5"/>
      <c r="P534" s="5"/>
      <c r="Q534" s="5"/>
      <c r="R534" s="5"/>
      <c r="S534" s="5"/>
      <c r="T534" s="5"/>
    </row>
    <row r="535" spans="1:20" x14ac:dyDescent="0.3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N535" s="4"/>
      <c r="O535" s="5"/>
      <c r="P535" s="5"/>
      <c r="Q535" s="5"/>
      <c r="R535" s="5"/>
      <c r="S535" s="5"/>
      <c r="T535" s="5"/>
    </row>
    <row r="536" spans="1:20" x14ac:dyDescent="0.3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N536" s="4"/>
      <c r="O536" s="5"/>
      <c r="P536" s="5"/>
      <c r="Q536" s="5"/>
      <c r="R536" s="5"/>
      <c r="S536" s="5"/>
      <c r="T536" s="5"/>
    </row>
    <row r="537" spans="1:20" x14ac:dyDescent="0.3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N537" s="4"/>
      <c r="O537" s="5"/>
      <c r="P537" s="5"/>
      <c r="Q537" s="5"/>
      <c r="R537" s="5"/>
      <c r="S537" s="5"/>
      <c r="T537" s="5"/>
    </row>
    <row r="538" spans="1:20" x14ac:dyDescent="0.3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N538" s="4"/>
      <c r="O538" s="5"/>
      <c r="P538" s="5"/>
      <c r="Q538" s="5"/>
      <c r="R538" s="5"/>
      <c r="S538" s="5"/>
      <c r="T538" s="5"/>
    </row>
    <row r="539" spans="1:20" x14ac:dyDescent="0.3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N539" s="4"/>
      <c r="O539" s="5"/>
      <c r="P539" s="5"/>
      <c r="Q539" s="5"/>
      <c r="R539" s="5"/>
      <c r="S539" s="5"/>
      <c r="T539" s="5"/>
    </row>
    <row r="540" spans="1:20" x14ac:dyDescent="0.3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N540" s="4"/>
      <c r="O540" s="5"/>
      <c r="P540" s="5"/>
      <c r="Q540" s="5"/>
      <c r="R540" s="5"/>
      <c r="S540" s="5"/>
      <c r="T540" s="5"/>
    </row>
    <row r="541" spans="1:20" x14ac:dyDescent="0.3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N541" s="4"/>
      <c r="O541" s="5"/>
      <c r="P541" s="5"/>
      <c r="Q541" s="5"/>
      <c r="R541" s="5"/>
      <c r="S541" s="5"/>
      <c r="T541" s="5"/>
    </row>
    <row r="542" spans="1:20" x14ac:dyDescent="0.3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N542" s="4"/>
      <c r="O542" s="5"/>
      <c r="P542" s="5"/>
      <c r="Q542" s="5"/>
      <c r="R542" s="5"/>
      <c r="S542" s="5"/>
      <c r="T542" s="5"/>
    </row>
    <row r="543" spans="1:20" x14ac:dyDescent="0.3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N543" s="4"/>
      <c r="O543" s="5"/>
      <c r="P543" s="5"/>
      <c r="Q543" s="5"/>
      <c r="R543" s="5"/>
      <c r="S543" s="5"/>
      <c r="T543" s="5"/>
    </row>
    <row r="544" spans="1:20" x14ac:dyDescent="0.3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N544" s="4"/>
      <c r="O544" s="5"/>
      <c r="P544" s="5"/>
      <c r="Q544" s="5"/>
      <c r="R544" s="5"/>
      <c r="S544" s="5"/>
      <c r="T544" s="5"/>
    </row>
    <row r="545" spans="1:20" x14ac:dyDescent="0.3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N545" s="4"/>
      <c r="O545" s="5"/>
      <c r="P545" s="5"/>
      <c r="Q545" s="5"/>
      <c r="R545" s="5"/>
      <c r="S545" s="5"/>
      <c r="T545" s="5"/>
    </row>
    <row r="546" spans="1:20" x14ac:dyDescent="0.3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N546" s="4"/>
      <c r="O546" s="5"/>
      <c r="P546" s="5"/>
      <c r="Q546" s="5"/>
      <c r="R546" s="5"/>
      <c r="S546" s="5"/>
      <c r="T546" s="5"/>
    </row>
    <row r="547" spans="1:20" x14ac:dyDescent="0.3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N547" s="4"/>
      <c r="O547" s="5"/>
      <c r="P547" s="5"/>
      <c r="Q547" s="5"/>
      <c r="R547" s="5"/>
      <c r="S547" s="5"/>
      <c r="T547" s="5"/>
    </row>
    <row r="548" spans="1:20" x14ac:dyDescent="0.3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N548" s="4"/>
      <c r="O548" s="5"/>
      <c r="P548" s="5"/>
      <c r="Q548" s="5"/>
      <c r="R548" s="5"/>
      <c r="S548" s="5"/>
      <c r="T548" s="5"/>
    </row>
    <row r="549" spans="1:20" x14ac:dyDescent="0.3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N549" s="4"/>
      <c r="O549" s="5"/>
      <c r="P549" s="5"/>
      <c r="Q549" s="5"/>
      <c r="R549" s="5"/>
      <c r="S549" s="5"/>
      <c r="T549" s="5"/>
    </row>
    <row r="550" spans="1:20" x14ac:dyDescent="0.3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N550" s="4"/>
      <c r="O550" s="5"/>
      <c r="P550" s="5"/>
      <c r="Q550" s="5"/>
      <c r="R550" s="5"/>
      <c r="S550" s="5"/>
      <c r="T550" s="5"/>
    </row>
    <row r="551" spans="1:20" x14ac:dyDescent="0.3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N551" s="4"/>
      <c r="O551" s="5"/>
      <c r="P551" s="5"/>
      <c r="Q551" s="5"/>
      <c r="R551" s="5"/>
      <c r="S551" s="5"/>
      <c r="T551" s="5"/>
    </row>
    <row r="552" spans="1:20" x14ac:dyDescent="0.3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N552" s="4"/>
      <c r="O552" s="5"/>
      <c r="P552" s="5"/>
      <c r="Q552" s="5"/>
      <c r="R552" s="5"/>
      <c r="S552" s="5"/>
      <c r="T552" s="5"/>
    </row>
    <row r="553" spans="1:20" x14ac:dyDescent="0.3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N553" s="4"/>
      <c r="O553" s="5"/>
      <c r="P553" s="5"/>
      <c r="Q553" s="5"/>
      <c r="R553" s="5"/>
      <c r="S553" s="5"/>
      <c r="T553" s="5"/>
    </row>
    <row r="554" spans="1:20" x14ac:dyDescent="0.3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N554" s="4"/>
      <c r="O554" s="5"/>
      <c r="P554" s="5"/>
      <c r="Q554" s="5"/>
      <c r="R554" s="5"/>
      <c r="S554" s="5"/>
      <c r="T554" s="5"/>
    </row>
    <row r="555" spans="1:20" x14ac:dyDescent="0.3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N555" s="4"/>
      <c r="O555" s="5"/>
      <c r="P555" s="5"/>
      <c r="Q555" s="5"/>
      <c r="R555" s="5"/>
      <c r="S555" s="5"/>
      <c r="T555" s="5"/>
    </row>
    <row r="556" spans="1:20" x14ac:dyDescent="0.3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N556" s="4"/>
      <c r="O556" s="5"/>
      <c r="P556" s="5"/>
      <c r="Q556" s="5"/>
      <c r="R556" s="5"/>
      <c r="S556" s="5"/>
      <c r="T556" s="5"/>
    </row>
    <row r="557" spans="1:20" x14ac:dyDescent="0.3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N557" s="4"/>
      <c r="O557" s="5"/>
      <c r="P557" s="5"/>
      <c r="Q557" s="5"/>
      <c r="R557" s="5"/>
      <c r="S557" s="5"/>
      <c r="T557" s="5"/>
    </row>
    <row r="558" spans="1:20" x14ac:dyDescent="0.3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N558" s="4"/>
      <c r="O558" s="5"/>
      <c r="P558" s="5"/>
      <c r="Q558" s="5"/>
      <c r="R558" s="5"/>
      <c r="S558" s="5"/>
      <c r="T558" s="5"/>
    </row>
    <row r="559" spans="1:20" x14ac:dyDescent="0.3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N559" s="4"/>
      <c r="O559" s="5"/>
      <c r="P559" s="5"/>
      <c r="Q559" s="5"/>
      <c r="R559" s="5"/>
      <c r="S559" s="5"/>
      <c r="T559" s="5"/>
    </row>
    <row r="560" spans="1:20" x14ac:dyDescent="0.3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N560" s="4"/>
      <c r="O560" s="5"/>
      <c r="P560" s="5"/>
      <c r="Q560" s="5"/>
      <c r="R560" s="5"/>
      <c r="S560" s="5"/>
      <c r="T560" s="5"/>
    </row>
    <row r="561" spans="1:20" x14ac:dyDescent="0.3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N561" s="4"/>
      <c r="O561" s="5"/>
      <c r="P561" s="5"/>
      <c r="Q561" s="5"/>
      <c r="R561" s="5"/>
      <c r="S561" s="5"/>
      <c r="T561" s="5"/>
    </row>
    <row r="562" spans="1:20" x14ac:dyDescent="0.3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N562" s="4"/>
      <c r="O562" s="5"/>
      <c r="P562" s="5"/>
      <c r="Q562" s="5"/>
      <c r="R562" s="5"/>
      <c r="S562" s="5"/>
      <c r="T562" s="5"/>
    </row>
    <row r="563" spans="1:20" x14ac:dyDescent="0.3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N563" s="4"/>
      <c r="O563" s="5"/>
      <c r="P563" s="5"/>
      <c r="Q563" s="5"/>
      <c r="R563" s="5"/>
      <c r="S563" s="5"/>
      <c r="T563" s="5"/>
    </row>
    <row r="564" spans="1:20" x14ac:dyDescent="0.3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N564" s="4"/>
      <c r="O564" s="5"/>
      <c r="P564" s="5"/>
      <c r="Q564" s="5"/>
      <c r="R564" s="5"/>
      <c r="S564" s="5"/>
      <c r="T564" s="5"/>
    </row>
    <row r="565" spans="1:20" x14ac:dyDescent="0.3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N565" s="4"/>
      <c r="O565" s="5"/>
      <c r="P565" s="5"/>
      <c r="Q565" s="5"/>
      <c r="R565" s="5"/>
      <c r="S565" s="5"/>
      <c r="T565" s="5"/>
    </row>
    <row r="566" spans="1:20" x14ac:dyDescent="0.3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N566" s="4"/>
      <c r="O566" s="5"/>
      <c r="P566" s="5"/>
      <c r="Q566" s="5"/>
      <c r="R566" s="5"/>
      <c r="S566" s="5"/>
      <c r="T566" s="5"/>
    </row>
    <row r="567" spans="1:20" x14ac:dyDescent="0.3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N567" s="4"/>
      <c r="O567" s="5"/>
      <c r="P567" s="5"/>
      <c r="Q567" s="5"/>
      <c r="R567" s="5"/>
      <c r="S567" s="5"/>
      <c r="T567" s="5"/>
    </row>
    <row r="568" spans="1:20" x14ac:dyDescent="0.3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N568" s="4"/>
      <c r="O568" s="5"/>
      <c r="P568" s="5"/>
      <c r="Q568" s="5"/>
      <c r="R568" s="5"/>
      <c r="S568" s="5"/>
      <c r="T568" s="5"/>
    </row>
    <row r="569" spans="1:20" x14ac:dyDescent="0.3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N569" s="4"/>
      <c r="O569" s="5"/>
      <c r="P569" s="5"/>
      <c r="Q569" s="5"/>
      <c r="R569" s="5"/>
      <c r="S569" s="5"/>
      <c r="T569" s="5"/>
    </row>
    <row r="570" spans="1:20" x14ac:dyDescent="0.3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N570" s="4"/>
      <c r="O570" s="5"/>
      <c r="P570" s="5"/>
      <c r="Q570" s="5"/>
      <c r="R570" s="5"/>
      <c r="S570" s="5"/>
      <c r="T570" s="5"/>
    </row>
    <row r="571" spans="1:20" x14ac:dyDescent="0.3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N571" s="4"/>
      <c r="O571" s="5"/>
      <c r="P571" s="5"/>
      <c r="Q571" s="5"/>
      <c r="R571" s="5"/>
      <c r="S571" s="5"/>
      <c r="T571" s="5"/>
    </row>
    <row r="572" spans="1:20" x14ac:dyDescent="0.3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N572" s="4"/>
      <c r="O572" s="5"/>
      <c r="P572" s="5"/>
      <c r="Q572" s="5"/>
      <c r="R572" s="5"/>
      <c r="S572" s="5"/>
      <c r="T572" s="5"/>
    </row>
    <row r="573" spans="1:20" x14ac:dyDescent="0.3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N573" s="4"/>
      <c r="O573" s="5"/>
      <c r="P573" s="5"/>
      <c r="Q573" s="5"/>
      <c r="R573" s="5"/>
      <c r="S573" s="5"/>
      <c r="T573" s="5"/>
    </row>
    <row r="574" spans="1:20" x14ac:dyDescent="0.3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N574" s="4"/>
      <c r="O574" s="5"/>
      <c r="P574" s="5"/>
      <c r="Q574" s="5"/>
      <c r="R574" s="5"/>
      <c r="S574" s="5"/>
      <c r="T574" s="5"/>
    </row>
    <row r="575" spans="1:20" x14ac:dyDescent="0.3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N575" s="4"/>
      <c r="O575" s="5"/>
      <c r="P575" s="5"/>
      <c r="Q575" s="5"/>
      <c r="R575" s="5"/>
      <c r="S575" s="5"/>
      <c r="T575" s="5"/>
    </row>
    <row r="576" spans="1:20" x14ac:dyDescent="0.3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N576" s="4"/>
      <c r="O576" s="5"/>
      <c r="P576" s="5"/>
      <c r="Q576" s="5"/>
      <c r="R576" s="5"/>
      <c r="S576" s="5"/>
      <c r="T576" s="5"/>
    </row>
    <row r="577" spans="1:20" x14ac:dyDescent="0.3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N577" s="4"/>
      <c r="O577" s="5"/>
      <c r="P577" s="5"/>
      <c r="Q577" s="5"/>
      <c r="R577" s="5"/>
      <c r="S577" s="5"/>
      <c r="T577" s="5"/>
    </row>
    <row r="578" spans="1:20" x14ac:dyDescent="0.3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N578" s="4"/>
      <c r="O578" s="5"/>
      <c r="P578" s="5"/>
      <c r="Q578" s="5"/>
      <c r="R578" s="5"/>
      <c r="S578" s="5"/>
      <c r="T578" s="5"/>
    </row>
    <row r="579" spans="1:20" x14ac:dyDescent="0.3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N579" s="4"/>
      <c r="O579" s="5"/>
      <c r="P579" s="5"/>
      <c r="Q579" s="5"/>
      <c r="R579" s="5"/>
      <c r="S579" s="5"/>
      <c r="T579" s="5"/>
    </row>
    <row r="580" spans="1:20" x14ac:dyDescent="0.3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N580" s="4"/>
      <c r="O580" s="5"/>
      <c r="P580" s="5"/>
      <c r="Q580" s="5"/>
      <c r="R580" s="5"/>
      <c r="S580" s="5"/>
      <c r="T580" s="5"/>
    </row>
    <row r="581" spans="1:20" x14ac:dyDescent="0.3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N581" s="4"/>
      <c r="O581" s="5"/>
      <c r="P581" s="5"/>
      <c r="Q581" s="5"/>
      <c r="R581" s="5"/>
      <c r="S581" s="5"/>
      <c r="T581" s="5"/>
    </row>
    <row r="582" spans="1:20" x14ac:dyDescent="0.3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N582" s="4"/>
      <c r="O582" s="5"/>
      <c r="P582" s="5"/>
      <c r="Q582" s="5"/>
      <c r="R582" s="5"/>
      <c r="S582" s="5"/>
      <c r="T582" s="5"/>
    </row>
    <row r="583" spans="1:20" x14ac:dyDescent="0.3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N583" s="4"/>
      <c r="O583" s="5"/>
      <c r="P583" s="5"/>
      <c r="Q583" s="5"/>
      <c r="R583" s="5"/>
      <c r="S583" s="5"/>
      <c r="T583" s="5"/>
    </row>
    <row r="584" spans="1:20" x14ac:dyDescent="0.3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N584" s="4"/>
      <c r="O584" s="5"/>
      <c r="P584" s="5"/>
      <c r="Q584" s="5"/>
      <c r="R584" s="5"/>
      <c r="S584" s="5"/>
      <c r="T584" s="5"/>
    </row>
    <row r="585" spans="1:20" x14ac:dyDescent="0.3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N585" s="4"/>
      <c r="O585" s="5"/>
      <c r="P585" s="5"/>
      <c r="Q585" s="5"/>
      <c r="R585" s="5"/>
      <c r="S585" s="5"/>
      <c r="T585" s="5"/>
    </row>
    <row r="586" spans="1:20" x14ac:dyDescent="0.3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N586" s="4"/>
      <c r="O586" s="5"/>
      <c r="P586" s="5"/>
      <c r="Q586" s="5"/>
      <c r="R586" s="5"/>
      <c r="S586" s="5"/>
      <c r="T586" s="5"/>
    </row>
    <row r="587" spans="1:20" x14ac:dyDescent="0.3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N587" s="4"/>
      <c r="O587" s="5"/>
      <c r="P587" s="5"/>
      <c r="Q587" s="5"/>
      <c r="R587" s="5"/>
      <c r="S587" s="5"/>
      <c r="T587" s="5"/>
    </row>
    <row r="588" spans="1:20" x14ac:dyDescent="0.3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N588" s="4"/>
      <c r="O588" s="5"/>
      <c r="P588" s="5"/>
      <c r="Q588" s="5"/>
      <c r="R588" s="5"/>
      <c r="S588" s="5"/>
      <c r="T588" s="5"/>
    </row>
    <row r="589" spans="1:20" x14ac:dyDescent="0.3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N589" s="4"/>
      <c r="O589" s="5"/>
      <c r="P589" s="5"/>
      <c r="Q589" s="5"/>
      <c r="R589" s="5"/>
      <c r="S589" s="5"/>
      <c r="T589" s="5"/>
    </row>
    <row r="590" spans="1:20" x14ac:dyDescent="0.3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N590" s="4"/>
      <c r="O590" s="5"/>
      <c r="P590" s="5"/>
      <c r="Q590" s="5"/>
      <c r="R590" s="5"/>
      <c r="S590" s="5"/>
      <c r="T590" s="5"/>
    </row>
    <row r="591" spans="1:20" x14ac:dyDescent="0.3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N591" s="4"/>
      <c r="O591" s="5"/>
      <c r="P591" s="5"/>
      <c r="Q591" s="5"/>
      <c r="R591" s="5"/>
      <c r="S591" s="5"/>
      <c r="T591" s="5"/>
    </row>
    <row r="592" spans="1:20" x14ac:dyDescent="0.3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N592" s="4"/>
      <c r="O592" s="5"/>
      <c r="P592" s="5"/>
      <c r="Q592" s="5"/>
      <c r="R592" s="5"/>
      <c r="S592" s="5"/>
      <c r="T592" s="5"/>
    </row>
    <row r="593" spans="1:20" x14ac:dyDescent="0.3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N593" s="4"/>
      <c r="O593" s="5"/>
      <c r="P593" s="5"/>
      <c r="Q593" s="5"/>
      <c r="R593" s="5"/>
      <c r="S593" s="5"/>
      <c r="T593" s="5"/>
    </row>
    <row r="594" spans="1:20" x14ac:dyDescent="0.3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N594" s="4"/>
      <c r="O594" s="5"/>
      <c r="P594" s="5"/>
      <c r="Q594" s="5"/>
      <c r="R594" s="5"/>
      <c r="S594" s="5"/>
      <c r="T594" s="5"/>
    </row>
    <row r="595" spans="1:20" x14ac:dyDescent="0.3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N595" s="4"/>
      <c r="O595" s="5"/>
      <c r="P595" s="5"/>
      <c r="Q595" s="5"/>
      <c r="R595" s="5"/>
      <c r="S595" s="5"/>
      <c r="T595" s="5"/>
    </row>
    <row r="596" spans="1:20" x14ac:dyDescent="0.3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N596" s="4"/>
      <c r="O596" s="5"/>
      <c r="P596" s="5"/>
      <c r="Q596" s="5"/>
      <c r="R596" s="5"/>
      <c r="S596" s="5"/>
      <c r="T596" s="5"/>
    </row>
    <row r="597" spans="1:20" x14ac:dyDescent="0.3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N597" s="4"/>
      <c r="O597" s="5"/>
      <c r="P597" s="5"/>
      <c r="Q597" s="5"/>
      <c r="R597" s="5"/>
      <c r="S597" s="5"/>
      <c r="T597" s="5"/>
    </row>
    <row r="598" spans="1:20" x14ac:dyDescent="0.3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N598" s="4"/>
      <c r="O598" s="5"/>
      <c r="P598" s="5"/>
      <c r="Q598" s="5"/>
      <c r="R598" s="5"/>
      <c r="S598" s="5"/>
      <c r="T598" s="5"/>
    </row>
    <row r="599" spans="1:20" x14ac:dyDescent="0.3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N599" s="4"/>
      <c r="O599" s="5"/>
      <c r="P599" s="5"/>
      <c r="Q599" s="5"/>
      <c r="R599" s="5"/>
      <c r="S599" s="5"/>
      <c r="T599" s="5"/>
    </row>
    <row r="600" spans="1:20" x14ac:dyDescent="0.3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N600" s="4"/>
      <c r="O600" s="5"/>
      <c r="P600" s="5"/>
      <c r="Q600" s="5"/>
      <c r="R600" s="5"/>
      <c r="S600" s="5"/>
      <c r="T600" s="5"/>
    </row>
    <row r="601" spans="1:20" x14ac:dyDescent="0.3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N601" s="4"/>
      <c r="O601" s="5"/>
      <c r="P601" s="5"/>
      <c r="Q601" s="5"/>
      <c r="R601" s="5"/>
      <c r="S601" s="5"/>
      <c r="T601" s="5"/>
    </row>
    <row r="602" spans="1:20" x14ac:dyDescent="0.3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N602" s="4"/>
      <c r="O602" s="5"/>
      <c r="P602" s="5"/>
      <c r="Q602" s="5"/>
      <c r="R602" s="5"/>
      <c r="S602" s="5"/>
      <c r="T602" s="5"/>
    </row>
    <row r="603" spans="1:20" x14ac:dyDescent="0.3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N603" s="4"/>
      <c r="O603" s="5"/>
      <c r="P603" s="5"/>
      <c r="Q603" s="5"/>
      <c r="R603" s="5"/>
      <c r="S603" s="5"/>
      <c r="T603" s="5"/>
    </row>
    <row r="604" spans="1:20" x14ac:dyDescent="0.3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N604" s="4"/>
      <c r="O604" s="5"/>
      <c r="P604" s="5"/>
      <c r="Q604" s="5"/>
      <c r="R604" s="5"/>
      <c r="S604" s="5"/>
      <c r="T604" s="5"/>
    </row>
    <row r="605" spans="1:20" x14ac:dyDescent="0.3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N605" s="4"/>
      <c r="O605" s="5"/>
      <c r="P605" s="5"/>
      <c r="Q605" s="5"/>
      <c r="R605" s="5"/>
      <c r="S605" s="5"/>
      <c r="T605" s="5"/>
    </row>
    <row r="606" spans="1:20" x14ac:dyDescent="0.3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N606" s="4"/>
      <c r="O606" s="5"/>
      <c r="P606" s="5"/>
      <c r="Q606" s="5"/>
      <c r="R606" s="5"/>
      <c r="S606" s="5"/>
      <c r="T606" s="5"/>
    </row>
    <row r="607" spans="1:20" x14ac:dyDescent="0.3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N607" s="4"/>
      <c r="O607" s="5"/>
      <c r="P607" s="5"/>
      <c r="Q607" s="5"/>
      <c r="R607" s="5"/>
      <c r="S607" s="5"/>
      <c r="T607" s="5"/>
    </row>
    <row r="608" spans="1:20" x14ac:dyDescent="0.3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N608" s="4"/>
      <c r="O608" s="5"/>
      <c r="P608" s="5"/>
      <c r="Q608" s="5"/>
      <c r="R608" s="5"/>
      <c r="S608" s="5"/>
      <c r="T608" s="5"/>
    </row>
    <row r="609" spans="1:20" x14ac:dyDescent="0.3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N609" s="4"/>
      <c r="O609" s="5"/>
      <c r="P609" s="5"/>
      <c r="Q609" s="5"/>
      <c r="R609" s="5"/>
      <c r="S609" s="5"/>
      <c r="T609" s="5"/>
    </row>
    <row r="610" spans="1:20" x14ac:dyDescent="0.3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N610" s="4"/>
      <c r="O610" s="5"/>
      <c r="P610" s="5"/>
      <c r="Q610" s="5"/>
      <c r="R610" s="5"/>
      <c r="S610" s="5"/>
      <c r="T610" s="5"/>
    </row>
    <row r="611" spans="1:20" x14ac:dyDescent="0.3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N611" s="4"/>
      <c r="O611" s="5"/>
      <c r="P611" s="5"/>
      <c r="Q611" s="5"/>
      <c r="R611" s="5"/>
      <c r="S611" s="5"/>
      <c r="T611" s="5"/>
    </row>
    <row r="612" spans="1:20" x14ac:dyDescent="0.3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N612" s="4"/>
      <c r="O612" s="5"/>
      <c r="P612" s="5"/>
      <c r="Q612" s="5"/>
      <c r="R612" s="5"/>
      <c r="S612" s="5"/>
      <c r="T612" s="5"/>
    </row>
    <row r="613" spans="1:20" x14ac:dyDescent="0.3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N613" s="4"/>
      <c r="O613" s="5"/>
      <c r="P613" s="5"/>
      <c r="Q613" s="5"/>
      <c r="R613" s="5"/>
      <c r="S613" s="5"/>
      <c r="T613" s="5"/>
    </row>
    <row r="614" spans="1:20" x14ac:dyDescent="0.3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N614" s="4"/>
      <c r="O614" s="5"/>
      <c r="P614" s="5"/>
      <c r="Q614" s="5"/>
      <c r="R614" s="5"/>
      <c r="S614" s="5"/>
      <c r="T614" s="5"/>
    </row>
    <row r="615" spans="1:20" x14ac:dyDescent="0.3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N615" s="4"/>
      <c r="O615" s="5"/>
      <c r="P615" s="5"/>
      <c r="Q615" s="5"/>
      <c r="R615" s="5"/>
      <c r="S615" s="5"/>
      <c r="T615" s="5"/>
    </row>
    <row r="616" spans="1:20" x14ac:dyDescent="0.3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N616" s="4"/>
      <c r="O616" s="5"/>
      <c r="P616" s="5"/>
      <c r="Q616" s="5"/>
      <c r="R616" s="5"/>
      <c r="S616" s="5"/>
      <c r="T616" s="5"/>
    </row>
    <row r="617" spans="1:20" x14ac:dyDescent="0.3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N617" s="4"/>
      <c r="O617" s="5"/>
      <c r="P617" s="5"/>
      <c r="Q617" s="5"/>
      <c r="R617" s="5"/>
      <c r="S617" s="5"/>
      <c r="T617" s="5"/>
    </row>
    <row r="618" spans="1:20" x14ac:dyDescent="0.3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N618" s="4"/>
      <c r="O618" s="5"/>
      <c r="P618" s="5"/>
      <c r="Q618" s="5"/>
      <c r="R618" s="5"/>
      <c r="S618" s="5"/>
      <c r="T618" s="5"/>
    </row>
    <row r="619" spans="1:20" x14ac:dyDescent="0.3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N619" s="4"/>
      <c r="O619" s="5"/>
      <c r="P619" s="5"/>
      <c r="Q619" s="5"/>
      <c r="R619" s="5"/>
      <c r="S619" s="5"/>
      <c r="T619" s="5"/>
    </row>
    <row r="620" spans="1:20" x14ac:dyDescent="0.3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N620" s="4"/>
      <c r="O620" s="5"/>
      <c r="P620" s="5"/>
      <c r="Q620" s="5"/>
      <c r="R620" s="5"/>
      <c r="S620" s="5"/>
      <c r="T620" s="5"/>
    </row>
    <row r="621" spans="1:20" x14ac:dyDescent="0.3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N621" s="4"/>
      <c r="O621" s="5"/>
      <c r="P621" s="5"/>
      <c r="Q621" s="5"/>
      <c r="R621" s="5"/>
      <c r="S621" s="5"/>
      <c r="T621" s="5"/>
    </row>
    <row r="622" spans="1:20" x14ac:dyDescent="0.3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N622" s="4"/>
      <c r="O622" s="5"/>
      <c r="P622" s="5"/>
      <c r="Q622" s="5"/>
      <c r="R622" s="5"/>
      <c r="S622" s="5"/>
      <c r="T622" s="5"/>
    </row>
    <row r="623" spans="1:20" x14ac:dyDescent="0.3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N623" s="4"/>
      <c r="O623" s="5"/>
      <c r="P623" s="5"/>
      <c r="Q623" s="5"/>
      <c r="R623" s="5"/>
      <c r="S623" s="5"/>
      <c r="T623" s="5"/>
    </row>
    <row r="624" spans="1:20" x14ac:dyDescent="0.3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N624" s="4"/>
      <c r="O624" s="5"/>
      <c r="P624" s="5"/>
      <c r="Q624" s="5"/>
      <c r="R624" s="5"/>
      <c r="S624" s="5"/>
      <c r="T624" s="5"/>
    </row>
    <row r="625" spans="1:20" x14ac:dyDescent="0.3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N625" s="4"/>
      <c r="O625" s="5"/>
      <c r="P625" s="5"/>
      <c r="Q625" s="5"/>
      <c r="R625" s="5"/>
      <c r="S625" s="5"/>
      <c r="T625" s="5"/>
    </row>
    <row r="626" spans="1:20" x14ac:dyDescent="0.3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N626" s="4"/>
      <c r="O626" s="5"/>
      <c r="P626" s="5"/>
      <c r="Q626" s="5"/>
      <c r="R626" s="5"/>
      <c r="S626" s="5"/>
      <c r="T626" s="5"/>
    </row>
    <row r="627" spans="1:20" x14ac:dyDescent="0.3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N627" s="4"/>
      <c r="O627" s="5"/>
      <c r="P627" s="5"/>
      <c r="Q627" s="5"/>
      <c r="R627" s="5"/>
      <c r="S627" s="5"/>
      <c r="T627" s="5"/>
    </row>
    <row r="628" spans="1:20" x14ac:dyDescent="0.3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N628" s="4"/>
      <c r="O628" s="5"/>
      <c r="P628" s="5"/>
      <c r="Q628" s="5"/>
      <c r="R628" s="5"/>
      <c r="S628" s="5"/>
      <c r="T628" s="5"/>
    </row>
    <row r="629" spans="1:20" x14ac:dyDescent="0.3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N629" s="4"/>
      <c r="O629" s="5"/>
      <c r="P629" s="5"/>
      <c r="Q629" s="5"/>
      <c r="R629" s="5"/>
      <c r="S629" s="5"/>
      <c r="T629" s="5"/>
    </row>
    <row r="630" spans="1:20" x14ac:dyDescent="0.3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N630" s="4"/>
      <c r="O630" s="5"/>
      <c r="P630" s="5"/>
      <c r="Q630" s="5"/>
      <c r="R630" s="5"/>
      <c r="S630" s="5"/>
      <c r="T630" s="5"/>
    </row>
    <row r="631" spans="1:20" x14ac:dyDescent="0.3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N631" s="4"/>
      <c r="O631" s="5"/>
      <c r="P631" s="5"/>
      <c r="Q631" s="5"/>
      <c r="R631" s="5"/>
      <c r="S631" s="5"/>
      <c r="T631" s="5"/>
    </row>
    <row r="632" spans="1:20" x14ac:dyDescent="0.3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N632" s="4"/>
      <c r="O632" s="5"/>
      <c r="P632" s="5"/>
      <c r="Q632" s="5"/>
      <c r="R632" s="5"/>
      <c r="S632" s="5"/>
      <c r="T632" s="5"/>
    </row>
    <row r="633" spans="1:20" x14ac:dyDescent="0.3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N633" s="4"/>
      <c r="O633" s="5"/>
      <c r="P633" s="5"/>
      <c r="Q633" s="5"/>
      <c r="R633" s="5"/>
      <c r="S633" s="5"/>
      <c r="T633" s="5"/>
    </row>
    <row r="634" spans="1:20" x14ac:dyDescent="0.3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N634" s="4"/>
      <c r="O634" s="5"/>
      <c r="P634" s="5"/>
      <c r="Q634" s="5"/>
      <c r="R634" s="5"/>
      <c r="S634" s="5"/>
      <c r="T634" s="5"/>
    </row>
    <row r="635" spans="1:20" x14ac:dyDescent="0.3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N635" s="4"/>
      <c r="O635" s="5"/>
      <c r="P635" s="5"/>
      <c r="Q635" s="5"/>
      <c r="R635" s="5"/>
      <c r="S635" s="5"/>
      <c r="T635" s="5"/>
    </row>
    <row r="636" spans="1:20" x14ac:dyDescent="0.3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N636" s="4"/>
      <c r="O636" s="5"/>
      <c r="P636" s="5"/>
      <c r="Q636" s="5"/>
      <c r="R636" s="5"/>
      <c r="S636" s="5"/>
      <c r="T636" s="5"/>
    </row>
    <row r="637" spans="1:20" x14ac:dyDescent="0.3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N637" s="4"/>
      <c r="O637" s="5"/>
      <c r="P637" s="5"/>
      <c r="Q637" s="5"/>
      <c r="R637" s="5"/>
      <c r="S637" s="5"/>
      <c r="T637" s="5"/>
    </row>
    <row r="638" spans="1:20" x14ac:dyDescent="0.3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N638" s="4"/>
      <c r="O638" s="5"/>
      <c r="P638" s="5"/>
      <c r="Q638" s="5"/>
      <c r="R638" s="5"/>
      <c r="S638" s="5"/>
      <c r="T638" s="5"/>
    </row>
    <row r="639" spans="1:20" x14ac:dyDescent="0.3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N639" s="4"/>
      <c r="O639" s="5"/>
      <c r="P639" s="5"/>
      <c r="Q639" s="5"/>
      <c r="R639" s="5"/>
      <c r="S639" s="5"/>
      <c r="T639" s="5"/>
    </row>
    <row r="640" spans="1:20" x14ac:dyDescent="0.3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N640" s="4"/>
      <c r="O640" s="5"/>
      <c r="P640" s="5"/>
      <c r="Q640" s="5"/>
      <c r="R640" s="5"/>
      <c r="S640" s="5"/>
      <c r="T640" s="5"/>
    </row>
    <row r="641" spans="1:20" x14ac:dyDescent="0.3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N641" s="4"/>
      <c r="O641" s="5"/>
      <c r="P641" s="5"/>
      <c r="Q641" s="5"/>
      <c r="R641" s="5"/>
      <c r="S641" s="5"/>
      <c r="T641" s="5"/>
    </row>
    <row r="642" spans="1:20" x14ac:dyDescent="0.3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N642" s="4"/>
      <c r="O642" s="5"/>
      <c r="P642" s="5"/>
      <c r="Q642" s="5"/>
      <c r="R642" s="5"/>
      <c r="S642" s="5"/>
      <c r="T642" s="5"/>
    </row>
    <row r="643" spans="1:20" x14ac:dyDescent="0.3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N643" s="4"/>
      <c r="O643" s="5"/>
      <c r="P643" s="5"/>
      <c r="Q643" s="5"/>
      <c r="R643" s="5"/>
      <c r="S643" s="5"/>
      <c r="T643" s="5"/>
    </row>
    <row r="644" spans="1:20" x14ac:dyDescent="0.3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N644" s="4"/>
      <c r="O644" s="5"/>
      <c r="P644" s="5"/>
      <c r="Q644" s="5"/>
      <c r="R644" s="5"/>
      <c r="S644" s="5"/>
      <c r="T644" s="5"/>
    </row>
    <row r="645" spans="1:20" x14ac:dyDescent="0.3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N645" s="4"/>
      <c r="O645" s="5"/>
      <c r="P645" s="5"/>
      <c r="Q645" s="5"/>
      <c r="R645" s="5"/>
      <c r="S645" s="5"/>
      <c r="T645" s="5"/>
    </row>
    <row r="646" spans="1:20" x14ac:dyDescent="0.3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N646" s="4"/>
      <c r="O646" s="5"/>
      <c r="P646" s="5"/>
      <c r="Q646" s="5"/>
      <c r="R646" s="5"/>
      <c r="S646" s="5"/>
      <c r="T646" s="5"/>
    </row>
    <row r="647" spans="1:20" x14ac:dyDescent="0.3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N647" s="4"/>
      <c r="O647" s="5"/>
      <c r="P647" s="5"/>
      <c r="Q647" s="5"/>
      <c r="R647" s="5"/>
      <c r="S647" s="5"/>
      <c r="T647" s="5"/>
    </row>
    <row r="648" spans="1:20" x14ac:dyDescent="0.3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N648" s="4"/>
      <c r="O648" s="5"/>
      <c r="P648" s="5"/>
      <c r="Q648" s="5"/>
      <c r="R648" s="5"/>
      <c r="S648" s="5"/>
      <c r="T648" s="5"/>
    </row>
    <row r="649" spans="1:20" x14ac:dyDescent="0.3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N649" s="4"/>
      <c r="O649" s="5"/>
      <c r="P649" s="5"/>
      <c r="Q649" s="5"/>
      <c r="R649" s="5"/>
      <c r="S649" s="5"/>
      <c r="T649" s="5"/>
    </row>
    <row r="650" spans="1:20" x14ac:dyDescent="0.3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N650" s="4"/>
      <c r="O650" s="5"/>
      <c r="P650" s="5"/>
      <c r="Q650" s="5"/>
      <c r="R650" s="5"/>
      <c r="S650" s="5"/>
      <c r="T650" s="5"/>
    </row>
    <row r="651" spans="1:20" x14ac:dyDescent="0.3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N651" s="4"/>
      <c r="O651" s="5"/>
      <c r="P651" s="5"/>
      <c r="Q651" s="5"/>
      <c r="R651" s="5"/>
      <c r="S651" s="5"/>
      <c r="T651" s="5"/>
    </row>
    <row r="652" spans="1:20" x14ac:dyDescent="0.3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N652" s="4"/>
      <c r="O652" s="5"/>
      <c r="P652" s="5"/>
      <c r="Q652" s="5"/>
      <c r="R652" s="5"/>
      <c r="S652" s="5"/>
      <c r="T652" s="5"/>
    </row>
    <row r="653" spans="1:20" x14ac:dyDescent="0.3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N653" s="4"/>
      <c r="O653" s="5"/>
      <c r="P653" s="5"/>
      <c r="Q653" s="5"/>
      <c r="R653" s="5"/>
      <c r="S653" s="5"/>
      <c r="T653" s="5"/>
    </row>
    <row r="654" spans="1:20" x14ac:dyDescent="0.3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N654" s="4"/>
      <c r="O654" s="5"/>
      <c r="P654" s="5"/>
      <c r="Q654" s="5"/>
      <c r="R654" s="5"/>
      <c r="S654" s="5"/>
      <c r="T654" s="5"/>
    </row>
    <row r="655" spans="1:20" x14ac:dyDescent="0.3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N655" s="4"/>
      <c r="O655" s="5"/>
      <c r="P655" s="5"/>
      <c r="Q655" s="5"/>
      <c r="R655" s="5"/>
      <c r="S655" s="5"/>
      <c r="T655" s="5"/>
    </row>
    <row r="656" spans="1:20" x14ac:dyDescent="0.3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N656" s="4"/>
      <c r="O656" s="5"/>
      <c r="P656" s="5"/>
      <c r="Q656" s="5"/>
      <c r="R656" s="5"/>
      <c r="S656" s="5"/>
      <c r="T656" s="5"/>
    </row>
    <row r="657" spans="1:20" x14ac:dyDescent="0.3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N657" s="4"/>
      <c r="O657" s="5"/>
      <c r="P657" s="5"/>
      <c r="Q657" s="5"/>
      <c r="R657" s="5"/>
      <c r="S657" s="5"/>
      <c r="T657" s="5"/>
    </row>
    <row r="658" spans="1:20" x14ac:dyDescent="0.3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N658" s="4"/>
      <c r="O658" s="5"/>
      <c r="P658" s="5"/>
      <c r="Q658" s="5"/>
      <c r="R658" s="5"/>
      <c r="S658" s="5"/>
      <c r="T658" s="5"/>
    </row>
    <row r="659" spans="1:20" x14ac:dyDescent="0.3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N659" s="4"/>
      <c r="O659" s="5"/>
      <c r="P659" s="5"/>
      <c r="Q659" s="5"/>
      <c r="R659" s="5"/>
      <c r="S659" s="5"/>
      <c r="T659" s="5"/>
    </row>
    <row r="660" spans="1:20" x14ac:dyDescent="0.3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N660" s="4"/>
      <c r="O660" s="5"/>
      <c r="P660" s="5"/>
      <c r="Q660" s="5"/>
      <c r="R660" s="5"/>
      <c r="S660" s="5"/>
      <c r="T660" s="5"/>
    </row>
    <row r="661" spans="1:20" x14ac:dyDescent="0.3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N661" s="4"/>
      <c r="O661" s="5"/>
      <c r="P661" s="5"/>
      <c r="Q661" s="5"/>
      <c r="R661" s="5"/>
      <c r="S661" s="5"/>
      <c r="T661" s="5"/>
    </row>
    <row r="662" spans="1:20" x14ac:dyDescent="0.3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N662" s="4"/>
      <c r="O662" s="5"/>
      <c r="P662" s="5"/>
      <c r="Q662" s="5"/>
      <c r="R662" s="5"/>
      <c r="S662" s="5"/>
      <c r="T662" s="5"/>
    </row>
    <row r="663" spans="1:20" x14ac:dyDescent="0.3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N663" s="4"/>
      <c r="O663" s="5"/>
      <c r="P663" s="5"/>
      <c r="Q663" s="5"/>
      <c r="R663" s="5"/>
      <c r="S663" s="5"/>
      <c r="T663" s="5"/>
    </row>
    <row r="664" spans="1:20" x14ac:dyDescent="0.3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N664" s="4"/>
      <c r="O664" s="5"/>
      <c r="P664" s="5"/>
      <c r="Q664" s="5"/>
      <c r="R664" s="5"/>
      <c r="S664" s="5"/>
      <c r="T664" s="5"/>
    </row>
    <row r="665" spans="1:20" x14ac:dyDescent="0.3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N665" s="4"/>
      <c r="O665" s="5"/>
      <c r="P665" s="5"/>
      <c r="Q665" s="5"/>
      <c r="R665" s="5"/>
      <c r="S665" s="5"/>
      <c r="T665" s="5"/>
    </row>
    <row r="666" spans="1:20" x14ac:dyDescent="0.3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N666" s="4"/>
      <c r="O666" s="5"/>
      <c r="P666" s="5"/>
      <c r="Q666" s="5"/>
      <c r="R666" s="5"/>
      <c r="S666" s="5"/>
      <c r="T666" s="5"/>
    </row>
    <row r="667" spans="1:20" x14ac:dyDescent="0.3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N667" s="4"/>
      <c r="O667" s="5"/>
      <c r="P667" s="5"/>
      <c r="Q667" s="5"/>
      <c r="R667" s="5"/>
      <c r="S667" s="5"/>
      <c r="T667" s="5"/>
    </row>
    <row r="668" spans="1:20" x14ac:dyDescent="0.3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N668" s="4"/>
      <c r="O668" s="5"/>
      <c r="P668" s="5"/>
      <c r="Q668" s="5"/>
      <c r="R668" s="5"/>
      <c r="S668" s="5"/>
      <c r="T668" s="5"/>
    </row>
    <row r="669" spans="1:20" x14ac:dyDescent="0.3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N669" s="4"/>
      <c r="O669" s="5"/>
      <c r="P669" s="5"/>
      <c r="Q669" s="5"/>
      <c r="R669" s="5"/>
      <c r="S669" s="5"/>
      <c r="T669" s="5"/>
    </row>
    <row r="670" spans="1:20" x14ac:dyDescent="0.3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N670" s="4"/>
      <c r="O670" s="5"/>
      <c r="P670" s="5"/>
      <c r="Q670" s="5"/>
      <c r="R670" s="5"/>
      <c r="S670" s="5"/>
      <c r="T670" s="5"/>
    </row>
    <row r="671" spans="1:20" x14ac:dyDescent="0.3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N671" s="4"/>
      <c r="O671" s="5"/>
      <c r="P671" s="5"/>
      <c r="Q671" s="5"/>
      <c r="R671" s="5"/>
      <c r="S671" s="5"/>
      <c r="T671" s="5"/>
    </row>
    <row r="672" spans="1:20" x14ac:dyDescent="0.3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N672" s="4"/>
      <c r="O672" s="5"/>
      <c r="P672" s="5"/>
      <c r="Q672" s="5"/>
      <c r="R672" s="5"/>
      <c r="S672" s="5"/>
      <c r="T672" s="5"/>
    </row>
    <row r="673" spans="1:20" x14ac:dyDescent="0.3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N673" s="4"/>
      <c r="O673" s="5"/>
      <c r="P673" s="5"/>
      <c r="Q673" s="5"/>
      <c r="R673" s="5"/>
      <c r="S673" s="5"/>
      <c r="T673" s="5"/>
    </row>
    <row r="674" spans="1:20" x14ac:dyDescent="0.3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N674" s="4"/>
      <c r="O674" s="5"/>
      <c r="P674" s="5"/>
      <c r="Q674" s="5"/>
      <c r="R674" s="5"/>
      <c r="S674" s="5"/>
      <c r="T674" s="5"/>
    </row>
    <row r="675" spans="1:20" x14ac:dyDescent="0.3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N675" s="4"/>
      <c r="O675" s="5"/>
      <c r="P675" s="5"/>
      <c r="Q675" s="5"/>
      <c r="R675" s="5"/>
      <c r="S675" s="5"/>
      <c r="T675" s="5"/>
    </row>
    <row r="676" spans="1:20" x14ac:dyDescent="0.3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N676" s="4"/>
      <c r="O676" s="5"/>
      <c r="P676" s="5"/>
      <c r="Q676" s="5"/>
      <c r="R676" s="5"/>
      <c r="S676" s="5"/>
      <c r="T676" s="5"/>
    </row>
    <row r="677" spans="1:20" x14ac:dyDescent="0.3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N677" s="4"/>
      <c r="O677" s="5"/>
      <c r="P677" s="5"/>
      <c r="Q677" s="5"/>
      <c r="R677" s="5"/>
      <c r="S677" s="5"/>
      <c r="T677" s="5"/>
    </row>
    <row r="678" spans="1:20" x14ac:dyDescent="0.3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N678" s="4"/>
      <c r="O678" s="5"/>
      <c r="P678" s="5"/>
      <c r="Q678" s="5"/>
      <c r="R678" s="5"/>
      <c r="S678" s="5"/>
      <c r="T678" s="5"/>
    </row>
    <row r="679" spans="1:20" x14ac:dyDescent="0.3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N679" s="4"/>
      <c r="O679" s="5"/>
      <c r="P679" s="5"/>
      <c r="Q679" s="5"/>
      <c r="R679" s="5"/>
      <c r="S679" s="5"/>
      <c r="T679" s="5"/>
    </row>
    <row r="680" spans="1:20" x14ac:dyDescent="0.3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N680" s="4"/>
      <c r="O680" s="5"/>
      <c r="P680" s="5"/>
      <c r="Q680" s="5"/>
      <c r="R680" s="5"/>
      <c r="S680" s="5"/>
      <c r="T680" s="5"/>
    </row>
    <row r="681" spans="1:20" x14ac:dyDescent="0.3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N681" s="4"/>
      <c r="O681" s="5"/>
      <c r="P681" s="5"/>
      <c r="Q681" s="5"/>
      <c r="R681" s="5"/>
      <c r="S681" s="5"/>
      <c r="T681" s="5"/>
    </row>
    <row r="682" spans="1:20" x14ac:dyDescent="0.3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N682" s="4"/>
      <c r="O682" s="5"/>
      <c r="P682" s="5"/>
      <c r="Q682" s="5"/>
      <c r="R682" s="5"/>
      <c r="S682" s="5"/>
      <c r="T682" s="5"/>
    </row>
    <row r="683" spans="1:20" x14ac:dyDescent="0.3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N683" s="4"/>
      <c r="O683" s="5"/>
      <c r="P683" s="5"/>
      <c r="Q683" s="5"/>
      <c r="R683" s="5"/>
      <c r="S683" s="5"/>
      <c r="T683" s="5"/>
    </row>
    <row r="684" spans="1:20" x14ac:dyDescent="0.3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N684" s="4"/>
      <c r="O684" s="5"/>
      <c r="P684" s="5"/>
      <c r="Q684" s="5"/>
      <c r="R684" s="5"/>
      <c r="S684" s="5"/>
      <c r="T684" s="5"/>
    </row>
    <row r="685" spans="1:20" x14ac:dyDescent="0.3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N685" s="4"/>
      <c r="O685" s="5"/>
      <c r="P685" s="5"/>
      <c r="Q685" s="5"/>
      <c r="R685" s="5"/>
      <c r="S685" s="5"/>
      <c r="T685" s="5"/>
    </row>
    <row r="686" spans="1:20" x14ac:dyDescent="0.3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N686" s="4"/>
      <c r="O686" s="5"/>
      <c r="P686" s="5"/>
      <c r="Q686" s="5"/>
      <c r="R686" s="5"/>
      <c r="S686" s="5"/>
      <c r="T686" s="5"/>
    </row>
    <row r="687" spans="1:20" x14ac:dyDescent="0.3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N687" s="4"/>
      <c r="O687" s="5"/>
      <c r="P687" s="5"/>
      <c r="Q687" s="5"/>
      <c r="R687" s="5"/>
      <c r="S687" s="5"/>
      <c r="T687" s="5"/>
    </row>
    <row r="688" spans="1:20" x14ac:dyDescent="0.3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N688" s="4"/>
      <c r="O688" s="5"/>
      <c r="P688" s="5"/>
      <c r="Q688" s="5"/>
      <c r="R688" s="5"/>
      <c r="S688" s="5"/>
      <c r="T688" s="5"/>
    </row>
    <row r="689" spans="1:20" x14ac:dyDescent="0.3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N689" s="4"/>
      <c r="O689" s="5"/>
      <c r="P689" s="5"/>
      <c r="Q689" s="5"/>
      <c r="R689" s="5"/>
      <c r="S689" s="5"/>
      <c r="T689" s="5"/>
    </row>
    <row r="690" spans="1:20" x14ac:dyDescent="0.3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N690" s="4"/>
      <c r="O690" s="5"/>
      <c r="P690" s="5"/>
      <c r="Q690" s="5"/>
      <c r="R690" s="5"/>
      <c r="S690" s="5"/>
      <c r="T690" s="5"/>
    </row>
    <row r="691" spans="1:20" x14ac:dyDescent="0.3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N691" s="4"/>
      <c r="O691" s="5"/>
      <c r="P691" s="5"/>
      <c r="Q691" s="5"/>
      <c r="R691" s="5"/>
      <c r="S691" s="5"/>
      <c r="T691" s="5"/>
    </row>
    <row r="692" spans="1:20" x14ac:dyDescent="0.3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N692" s="4"/>
      <c r="O692" s="5"/>
      <c r="P692" s="5"/>
      <c r="Q692" s="5"/>
      <c r="R692" s="5"/>
      <c r="S692" s="5"/>
      <c r="T692" s="5"/>
    </row>
    <row r="693" spans="1:20" x14ac:dyDescent="0.3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N693" s="4"/>
      <c r="O693" s="5"/>
      <c r="P693" s="5"/>
      <c r="Q693" s="5"/>
      <c r="R693" s="5"/>
      <c r="S693" s="5"/>
      <c r="T693" s="5"/>
    </row>
    <row r="694" spans="1:20" x14ac:dyDescent="0.3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N694" s="4"/>
      <c r="O694" s="5"/>
      <c r="P694" s="5"/>
      <c r="Q694" s="5"/>
      <c r="R694" s="5"/>
      <c r="S694" s="5"/>
      <c r="T694" s="5"/>
    </row>
    <row r="695" spans="1:20" x14ac:dyDescent="0.3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N695" s="4"/>
      <c r="O695" s="5"/>
      <c r="P695" s="5"/>
      <c r="Q695" s="5"/>
      <c r="R695" s="5"/>
      <c r="S695" s="5"/>
      <c r="T695" s="5"/>
    </row>
    <row r="696" spans="1:20" x14ac:dyDescent="0.3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N696" s="4"/>
      <c r="O696" s="5"/>
      <c r="P696" s="5"/>
      <c r="Q696" s="5"/>
      <c r="R696" s="5"/>
      <c r="S696" s="5"/>
      <c r="T696" s="5"/>
    </row>
    <row r="697" spans="1:20" x14ac:dyDescent="0.3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N697" s="4"/>
      <c r="O697" s="5"/>
      <c r="P697" s="5"/>
      <c r="Q697" s="5"/>
      <c r="R697" s="5"/>
      <c r="S697" s="5"/>
      <c r="T697" s="5"/>
    </row>
    <row r="698" spans="1:20" x14ac:dyDescent="0.3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N698" s="4"/>
      <c r="O698" s="5"/>
      <c r="P698" s="5"/>
      <c r="Q698" s="5"/>
      <c r="R698" s="5"/>
      <c r="S698" s="5"/>
      <c r="T698" s="5"/>
    </row>
    <row r="699" spans="1:20" x14ac:dyDescent="0.3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N699" s="4"/>
      <c r="O699" s="5"/>
      <c r="P699" s="5"/>
      <c r="Q699" s="5"/>
      <c r="R699" s="5"/>
      <c r="S699" s="5"/>
      <c r="T699" s="5"/>
    </row>
    <row r="700" spans="1:20" x14ac:dyDescent="0.3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N700" s="4"/>
      <c r="O700" s="5"/>
      <c r="P700" s="5"/>
      <c r="Q700" s="5"/>
      <c r="R700" s="5"/>
      <c r="S700" s="5"/>
      <c r="T700" s="5"/>
    </row>
    <row r="701" spans="1:20" x14ac:dyDescent="0.3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N701" s="4"/>
      <c r="O701" s="5"/>
      <c r="P701" s="5"/>
      <c r="Q701" s="5"/>
      <c r="R701" s="5"/>
      <c r="S701" s="5"/>
      <c r="T701" s="5"/>
    </row>
    <row r="702" spans="1:20" x14ac:dyDescent="0.3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N702" s="4"/>
      <c r="O702" s="5"/>
      <c r="P702" s="5"/>
      <c r="Q702" s="5"/>
      <c r="R702" s="5"/>
      <c r="S702" s="5"/>
      <c r="T702" s="5"/>
    </row>
    <row r="703" spans="1:20" x14ac:dyDescent="0.3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N703" s="4"/>
      <c r="O703" s="5"/>
      <c r="P703" s="5"/>
      <c r="Q703" s="5"/>
      <c r="R703" s="5"/>
      <c r="S703" s="5"/>
      <c r="T703" s="5"/>
    </row>
    <row r="704" spans="1:20" x14ac:dyDescent="0.3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N704" s="4"/>
      <c r="O704" s="5"/>
      <c r="P704" s="5"/>
      <c r="Q704" s="5"/>
      <c r="R704" s="5"/>
      <c r="S704" s="5"/>
      <c r="T704" s="5"/>
    </row>
    <row r="705" spans="1:20" x14ac:dyDescent="0.3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N705" s="4"/>
      <c r="O705" s="5"/>
      <c r="P705" s="5"/>
      <c r="Q705" s="5"/>
      <c r="R705" s="5"/>
      <c r="S705" s="5"/>
      <c r="T705" s="5"/>
    </row>
    <row r="706" spans="1:20" x14ac:dyDescent="0.3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N706" s="4"/>
      <c r="O706" s="5"/>
      <c r="P706" s="5"/>
      <c r="Q706" s="5"/>
      <c r="R706" s="5"/>
      <c r="S706" s="5"/>
      <c r="T706" s="5"/>
    </row>
    <row r="707" spans="1:20" x14ac:dyDescent="0.3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N707" s="4"/>
      <c r="O707" s="5"/>
      <c r="P707" s="5"/>
      <c r="Q707" s="5"/>
      <c r="R707" s="5"/>
      <c r="S707" s="5"/>
      <c r="T707" s="5"/>
    </row>
    <row r="708" spans="1:20" x14ac:dyDescent="0.3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N708" s="4"/>
      <c r="O708" s="5"/>
      <c r="P708" s="5"/>
      <c r="Q708" s="5"/>
      <c r="R708" s="5"/>
      <c r="S708" s="5"/>
      <c r="T708" s="5"/>
    </row>
    <row r="709" spans="1:20" x14ac:dyDescent="0.3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N709" s="4"/>
      <c r="O709" s="5"/>
      <c r="P709" s="5"/>
      <c r="Q709" s="5"/>
      <c r="R709" s="5"/>
      <c r="S709" s="5"/>
      <c r="T709" s="5"/>
    </row>
    <row r="710" spans="1:20" x14ac:dyDescent="0.3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N710" s="4"/>
      <c r="O710" s="5"/>
      <c r="P710" s="5"/>
      <c r="Q710" s="5"/>
      <c r="R710" s="5"/>
      <c r="S710" s="5"/>
      <c r="T710" s="5"/>
    </row>
    <row r="711" spans="1:20" x14ac:dyDescent="0.3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N711" s="4"/>
      <c r="O711" s="5"/>
      <c r="P711" s="5"/>
      <c r="Q711" s="5"/>
      <c r="R711" s="5"/>
      <c r="S711" s="5"/>
      <c r="T711" s="5"/>
    </row>
    <row r="712" spans="1:20" x14ac:dyDescent="0.3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N712" s="4"/>
      <c r="O712" s="5"/>
      <c r="P712" s="5"/>
      <c r="Q712" s="5"/>
      <c r="R712" s="5"/>
      <c r="S712" s="5"/>
      <c r="T712" s="5"/>
    </row>
    <row r="713" spans="1:20" x14ac:dyDescent="0.3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N713" s="4"/>
      <c r="O713" s="5"/>
      <c r="P713" s="5"/>
      <c r="Q713" s="5"/>
      <c r="R713" s="5"/>
      <c r="S713" s="5"/>
      <c r="T713" s="5"/>
    </row>
    <row r="714" spans="1:20" x14ac:dyDescent="0.3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N714" s="4"/>
      <c r="O714" s="5"/>
      <c r="P714" s="5"/>
      <c r="Q714" s="5"/>
      <c r="R714" s="5"/>
      <c r="S714" s="5"/>
      <c r="T714" s="5"/>
    </row>
    <row r="715" spans="1:20" x14ac:dyDescent="0.3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N715" s="4"/>
      <c r="O715" s="5"/>
      <c r="P715" s="5"/>
      <c r="Q715" s="5"/>
      <c r="R715" s="5"/>
      <c r="S715" s="5"/>
      <c r="T715" s="5"/>
    </row>
    <row r="716" spans="1:20" x14ac:dyDescent="0.3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N716" s="4"/>
      <c r="O716" s="5"/>
      <c r="P716" s="5"/>
      <c r="Q716" s="5"/>
      <c r="R716" s="5"/>
      <c r="S716" s="5"/>
      <c r="T716" s="5"/>
    </row>
    <row r="717" spans="1:20" x14ac:dyDescent="0.3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N717" s="4"/>
      <c r="O717" s="5"/>
      <c r="P717" s="5"/>
      <c r="Q717" s="5"/>
      <c r="R717" s="5"/>
      <c r="S717" s="5"/>
      <c r="T717" s="5"/>
    </row>
    <row r="718" spans="1:20" x14ac:dyDescent="0.3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N718" s="4"/>
      <c r="O718" s="5"/>
      <c r="P718" s="5"/>
      <c r="Q718" s="5"/>
      <c r="R718" s="5"/>
      <c r="S718" s="5"/>
      <c r="T718" s="5"/>
    </row>
    <row r="719" spans="1:20" x14ac:dyDescent="0.3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N719" s="4"/>
      <c r="O719" s="5"/>
      <c r="P719" s="5"/>
      <c r="Q719" s="5"/>
      <c r="R719" s="5"/>
      <c r="S719" s="5"/>
      <c r="T719" s="5"/>
    </row>
    <row r="720" spans="1:20" x14ac:dyDescent="0.3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N720" s="4"/>
      <c r="O720" s="5"/>
      <c r="P720" s="5"/>
      <c r="Q720" s="5"/>
      <c r="R720" s="5"/>
      <c r="S720" s="5"/>
      <c r="T720" s="5"/>
    </row>
    <row r="721" spans="1:20" x14ac:dyDescent="0.3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N721" s="4"/>
      <c r="O721" s="5"/>
      <c r="P721" s="5"/>
      <c r="Q721" s="5"/>
      <c r="R721" s="5"/>
      <c r="S721" s="5"/>
      <c r="T721" s="5"/>
    </row>
    <row r="722" spans="1:20" x14ac:dyDescent="0.3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N722" s="4"/>
      <c r="O722" s="5"/>
      <c r="P722" s="5"/>
      <c r="Q722" s="5"/>
      <c r="R722" s="5"/>
      <c r="S722" s="5"/>
      <c r="T722" s="5"/>
    </row>
    <row r="723" spans="1:20" x14ac:dyDescent="0.3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N723" s="4"/>
      <c r="O723" s="5"/>
      <c r="P723" s="5"/>
      <c r="Q723" s="5"/>
      <c r="R723" s="5"/>
      <c r="S723" s="5"/>
      <c r="T723" s="5"/>
    </row>
    <row r="724" spans="1:20" x14ac:dyDescent="0.3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N724" s="4"/>
      <c r="O724" s="5"/>
      <c r="P724" s="5"/>
      <c r="Q724" s="5"/>
      <c r="R724" s="5"/>
      <c r="S724" s="5"/>
      <c r="T724" s="5"/>
    </row>
    <row r="725" spans="1:20" x14ac:dyDescent="0.3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N725" s="4"/>
      <c r="O725" s="5"/>
      <c r="P725" s="5"/>
      <c r="Q725" s="5"/>
      <c r="R725" s="5"/>
      <c r="S725" s="5"/>
      <c r="T725" s="5"/>
    </row>
    <row r="726" spans="1:20" x14ac:dyDescent="0.3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N726" s="4"/>
      <c r="O726" s="5"/>
      <c r="P726" s="5"/>
      <c r="Q726" s="5"/>
      <c r="R726" s="5"/>
      <c r="S726" s="5"/>
      <c r="T726" s="5"/>
    </row>
    <row r="727" spans="1:20" x14ac:dyDescent="0.3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N727" s="4"/>
      <c r="O727" s="5"/>
      <c r="P727" s="5"/>
      <c r="Q727" s="5"/>
      <c r="R727" s="5"/>
      <c r="S727" s="5"/>
      <c r="T727" s="5"/>
    </row>
    <row r="728" spans="1:20" x14ac:dyDescent="0.3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N728" s="4"/>
      <c r="O728" s="5"/>
      <c r="P728" s="5"/>
      <c r="Q728" s="5"/>
      <c r="R728" s="5"/>
      <c r="S728" s="5"/>
      <c r="T728" s="5"/>
    </row>
    <row r="729" spans="1:20" x14ac:dyDescent="0.3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N729" s="4"/>
      <c r="O729" s="5"/>
      <c r="P729" s="5"/>
      <c r="Q729" s="5"/>
      <c r="R729" s="5"/>
      <c r="S729" s="5"/>
      <c r="T729" s="5"/>
    </row>
    <row r="730" spans="1:20" x14ac:dyDescent="0.3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N730" s="4"/>
      <c r="O730" s="5"/>
      <c r="P730" s="5"/>
      <c r="Q730" s="5"/>
      <c r="R730" s="5"/>
      <c r="S730" s="5"/>
      <c r="T730" s="5"/>
    </row>
    <row r="731" spans="1:20" x14ac:dyDescent="0.3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N731" s="4"/>
      <c r="O731" s="5"/>
      <c r="P731" s="5"/>
      <c r="Q731" s="5"/>
      <c r="R731" s="5"/>
      <c r="S731" s="5"/>
      <c r="T731" s="5"/>
    </row>
    <row r="732" spans="1:20" x14ac:dyDescent="0.3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N732" s="4"/>
      <c r="O732" s="5"/>
      <c r="P732" s="5"/>
      <c r="Q732" s="5"/>
      <c r="R732" s="5"/>
      <c r="S732" s="5"/>
      <c r="T732" s="5"/>
    </row>
    <row r="733" spans="1:20" x14ac:dyDescent="0.3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N733" s="4"/>
      <c r="O733" s="5"/>
      <c r="P733" s="5"/>
      <c r="Q733" s="5"/>
      <c r="R733" s="5"/>
      <c r="S733" s="5"/>
      <c r="T733" s="5"/>
    </row>
    <row r="734" spans="1:20" x14ac:dyDescent="0.3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N734" s="4"/>
      <c r="O734" s="5"/>
      <c r="P734" s="5"/>
      <c r="Q734" s="5"/>
      <c r="R734" s="5"/>
      <c r="S734" s="5"/>
      <c r="T734" s="5"/>
    </row>
    <row r="735" spans="1:20" x14ac:dyDescent="0.3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N735" s="4"/>
      <c r="O735" s="5"/>
      <c r="P735" s="5"/>
      <c r="Q735" s="5"/>
      <c r="R735" s="5"/>
      <c r="S735" s="5"/>
      <c r="T735" s="5"/>
    </row>
    <row r="736" spans="1:20" x14ac:dyDescent="0.3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N736" s="4"/>
      <c r="O736" s="5"/>
      <c r="P736" s="5"/>
      <c r="Q736" s="5"/>
      <c r="R736" s="5"/>
      <c r="S736" s="5"/>
      <c r="T736" s="5"/>
    </row>
    <row r="737" spans="1:20" x14ac:dyDescent="0.3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N737" s="4"/>
      <c r="O737" s="5"/>
      <c r="P737" s="5"/>
      <c r="Q737" s="5"/>
      <c r="R737" s="5"/>
      <c r="S737" s="5"/>
      <c r="T737" s="5"/>
    </row>
    <row r="738" spans="1:20" x14ac:dyDescent="0.3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N738" s="4"/>
      <c r="O738" s="5"/>
      <c r="P738" s="5"/>
      <c r="Q738" s="5"/>
      <c r="R738" s="5"/>
      <c r="S738" s="5"/>
      <c r="T738" s="5"/>
    </row>
    <row r="739" spans="1:20" x14ac:dyDescent="0.3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N739" s="4"/>
      <c r="O739" s="5"/>
      <c r="P739" s="5"/>
      <c r="Q739" s="5"/>
      <c r="R739" s="5"/>
      <c r="S739" s="5"/>
      <c r="T739" s="5"/>
    </row>
    <row r="740" spans="1:20" x14ac:dyDescent="0.3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N740" s="4"/>
      <c r="O740" s="5"/>
      <c r="P740" s="5"/>
      <c r="Q740" s="5"/>
      <c r="R740" s="5"/>
      <c r="S740" s="5"/>
      <c r="T740" s="5"/>
    </row>
    <row r="741" spans="1:20" x14ac:dyDescent="0.3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N741" s="4"/>
      <c r="O741" s="5"/>
      <c r="P741" s="5"/>
      <c r="Q741" s="5"/>
      <c r="R741" s="5"/>
      <c r="S741" s="5"/>
      <c r="T741" s="5"/>
    </row>
    <row r="742" spans="1:20" x14ac:dyDescent="0.3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N742" s="4"/>
      <c r="O742" s="5"/>
      <c r="P742" s="5"/>
      <c r="Q742" s="5"/>
      <c r="R742" s="5"/>
      <c r="S742" s="5"/>
      <c r="T742" s="5"/>
    </row>
    <row r="743" spans="1:20" x14ac:dyDescent="0.3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N743" s="4"/>
      <c r="O743" s="5"/>
      <c r="P743" s="5"/>
      <c r="Q743" s="5"/>
      <c r="R743" s="5"/>
      <c r="S743" s="5"/>
      <c r="T743" s="5"/>
    </row>
    <row r="744" spans="1:20" x14ac:dyDescent="0.3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N744" s="4"/>
      <c r="O744" s="5"/>
      <c r="P744" s="5"/>
      <c r="Q744" s="5"/>
      <c r="R744" s="5"/>
      <c r="S744" s="5"/>
      <c r="T744" s="5"/>
    </row>
    <row r="745" spans="1:20" x14ac:dyDescent="0.3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N745" s="4"/>
      <c r="O745" s="5"/>
      <c r="P745" s="5"/>
      <c r="Q745" s="5"/>
      <c r="R745" s="5"/>
      <c r="S745" s="5"/>
      <c r="T745" s="5"/>
    </row>
    <row r="746" spans="1:20" x14ac:dyDescent="0.3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N746" s="4"/>
      <c r="O746" s="5"/>
      <c r="P746" s="5"/>
      <c r="Q746" s="5"/>
      <c r="R746" s="5"/>
      <c r="S746" s="5"/>
      <c r="T746" s="5"/>
    </row>
    <row r="747" spans="1:20" x14ac:dyDescent="0.3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N747" s="4"/>
      <c r="O747" s="5"/>
      <c r="P747" s="5"/>
      <c r="Q747" s="5"/>
      <c r="R747" s="5"/>
      <c r="S747" s="5"/>
      <c r="T747" s="5"/>
    </row>
    <row r="748" spans="1:20" x14ac:dyDescent="0.3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N748" s="4"/>
      <c r="O748" s="5"/>
      <c r="P748" s="5"/>
      <c r="Q748" s="5"/>
      <c r="R748" s="5"/>
      <c r="S748" s="5"/>
      <c r="T748" s="5"/>
    </row>
    <row r="749" spans="1:20" x14ac:dyDescent="0.3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N749" s="4"/>
      <c r="O749" s="5"/>
      <c r="P749" s="5"/>
      <c r="Q749" s="5"/>
      <c r="R749" s="5"/>
      <c r="S749" s="5"/>
      <c r="T749" s="5"/>
    </row>
    <row r="750" spans="1:20" x14ac:dyDescent="0.3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N750" s="4"/>
      <c r="O750" s="5"/>
      <c r="P750" s="5"/>
      <c r="Q750" s="5"/>
      <c r="R750" s="5"/>
      <c r="S750" s="5"/>
      <c r="T750" s="5"/>
    </row>
    <row r="751" spans="1:20" x14ac:dyDescent="0.3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N751" s="4"/>
      <c r="O751" s="5"/>
      <c r="P751" s="5"/>
      <c r="Q751" s="5"/>
      <c r="R751" s="5"/>
      <c r="S751" s="5"/>
      <c r="T751" s="5"/>
    </row>
    <row r="752" spans="1:20" x14ac:dyDescent="0.3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N752" s="4"/>
      <c r="O752" s="5"/>
      <c r="P752" s="5"/>
      <c r="Q752" s="5"/>
      <c r="R752" s="5"/>
      <c r="S752" s="5"/>
      <c r="T752" s="5"/>
    </row>
    <row r="753" spans="1:20" x14ac:dyDescent="0.3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N753" s="4"/>
      <c r="O753" s="5"/>
      <c r="P753" s="5"/>
      <c r="Q753" s="5"/>
      <c r="R753" s="5"/>
      <c r="S753" s="5"/>
      <c r="T753" s="5"/>
    </row>
    <row r="754" spans="1:20" x14ac:dyDescent="0.3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N754" s="4"/>
      <c r="O754" s="5"/>
      <c r="P754" s="5"/>
      <c r="Q754" s="5"/>
      <c r="R754" s="5"/>
      <c r="S754" s="5"/>
      <c r="T754" s="5"/>
    </row>
    <row r="755" spans="1:20" x14ac:dyDescent="0.3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N755" s="4"/>
      <c r="O755" s="5"/>
      <c r="P755" s="5"/>
      <c r="Q755" s="5"/>
      <c r="R755" s="5"/>
      <c r="S755" s="5"/>
      <c r="T755" s="5"/>
    </row>
    <row r="756" spans="1:20" x14ac:dyDescent="0.3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N756" s="4"/>
      <c r="O756" s="5"/>
      <c r="P756" s="5"/>
      <c r="Q756" s="5"/>
      <c r="R756" s="5"/>
      <c r="S756" s="5"/>
      <c r="T756" s="5"/>
    </row>
    <row r="757" spans="1:20" x14ac:dyDescent="0.3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N757" s="4"/>
      <c r="O757" s="5"/>
      <c r="P757" s="5"/>
      <c r="Q757" s="5"/>
      <c r="R757" s="5"/>
      <c r="S757" s="5"/>
      <c r="T757" s="5"/>
    </row>
    <row r="758" spans="1:20" x14ac:dyDescent="0.3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N758" s="4"/>
      <c r="O758" s="5"/>
      <c r="P758" s="5"/>
      <c r="Q758" s="5"/>
      <c r="R758" s="5"/>
      <c r="S758" s="5"/>
      <c r="T758" s="5"/>
    </row>
    <row r="759" spans="1:20" x14ac:dyDescent="0.3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N759" s="4"/>
      <c r="O759" s="5"/>
      <c r="P759" s="5"/>
      <c r="Q759" s="5"/>
      <c r="R759" s="5"/>
      <c r="S759" s="5"/>
      <c r="T759" s="5"/>
    </row>
    <row r="760" spans="1:20" x14ac:dyDescent="0.3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N760" s="4"/>
      <c r="O760" s="5"/>
      <c r="P760" s="5"/>
      <c r="Q760" s="5"/>
      <c r="R760" s="5"/>
      <c r="S760" s="5"/>
      <c r="T760" s="5"/>
    </row>
    <row r="761" spans="1:20" x14ac:dyDescent="0.3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N761" s="4"/>
      <c r="O761" s="5"/>
      <c r="P761" s="5"/>
      <c r="Q761" s="5"/>
      <c r="R761" s="5"/>
      <c r="S761" s="5"/>
      <c r="T761" s="5"/>
    </row>
    <row r="762" spans="1:20" x14ac:dyDescent="0.3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N762" s="4"/>
      <c r="O762" s="5"/>
      <c r="P762" s="5"/>
      <c r="Q762" s="5"/>
      <c r="R762" s="5"/>
      <c r="S762" s="5"/>
      <c r="T762" s="5"/>
    </row>
    <row r="763" spans="1:20" x14ac:dyDescent="0.3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N763" s="4"/>
      <c r="O763" s="5"/>
      <c r="P763" s="5"/>
      <c r="Q763" s="5"/>
      <c r="R763" s="5"/>
      <c r="S763" s="5"/>
      <c r="T763" s="5"/>
    </row>
    <row r="764" spans="1:20" x14ac:dyDescent="0.3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N764" s="4"/>
      <c r="O764" s="5"/>
      <c r="P764" s="5"/>
      <c r="Q764" s="5"/>
      <c r="R764" s="5"/>
      <c r="S764" s="5"/>
      <c r="T764" s="5"/>
    </row>
    <row r="765" spans="1:20" x14ac:dyDescent="0.3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N765" s="4"/>
      <c r="O765" s="5"/>
      <c r="P765" s="5"/>
      <c r="Q765" s="5"/>
      <c r="R765" s="5"/>
      <c r="S765" s="5"/>
      <c r="T765" s="5"/>
    </row>
    <row r="766" spans="1:20" x14ac:dyDescent="0.3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N766" s="4"/>
      <c r="O766" s="5"/>
      <c r="P766" s="5"/>
      <c r="Q766" s="5"/>
      <c r="R766" s="5"/>
      <c r="S766" s="5"/>
      <c r="T766" s="5"/>
    </row>
    <row r="767" spans="1:20" x14ac:dyDescent="0.3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N767" s="4"/>
      <c r="O767" s="5"/>
      <c r="P767" s="5"/>
      <c r="Q767" s="5"/>
      <c r="R767" s="5"/>
      <c r="S767" s="5"/>
      <c r="T767" s="5"/>
    </row>
    <row r="768" spans="1:20" x14ac:dyDescent="0.3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N768" s="4"/>
      <c r="O768" s="5"/>
      <c r="P768" s="5"/>
      <c r="Q768" s="5"/>
      <c r="R768" s="5"/>
      <c r="S768" s="5"/>
      <c r="T768" s="5"/>
    </row>
    <row r="769" spans="1:20" x14ac:dyDescent="0.3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N769" s="4"/>
      <c r="O769" s="5"/>
      <c r="P769" s="5"/>
      <c r="Q769" s="5"/>
      <c r="R769" s="5"/>
      <c r="S769" s="5"/>
      <c r="T769" s="5"/>
    </row>
    <row r="770" spans="1:20" x14ac:dyDescent="0.3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N770" s="4"/>
      <c r="O770" s="5"/>
      <c r="P770" s="5"/>
      <c r="Q770" s="5"/>
      <c r="R770" s="5"/>
      <c r="S770" s="5"/>
      <c r="T770" s="5"/>
    </row>
    <row r="771" spans="1:20" x14ac:dyDescent="0.3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N771" s="4"/>
      <c r="O771" s="5"/>
      <c r="P771" s="5"/>
      <c r="Q771" s="5"/>
      <c r="R771" s="5"/>
      <c r="S771" s="5"/>
      <c r="T771" s="5"/>
    </row>
    <row r="772" spans="1:20" x14ac:dyDescent="0.3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N772" s="4"/>
      <c r="O772" s="5"/>
      <c r="P772" s="5"/>
      <c r="Q772" s="5"/>
      <c r="R772" s="5"/>
      <c r="S772" s="5"/>
      <c r="T772" s="5"/>
    </row>
    <row r="773" spans="1:20" x14ac:dyDescent="0.3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N773" s="4"/>
      <c r="O773" s="5"/>
      <c r="P773" s="5"/>
      <c r="Q773" s="5"/>
      <c r="R773" s="5"/>
      <c r="S773" s="5"/>
      <c r="T773" s="5"/>
    </row>
    <row r="774" spans="1:20" x14ac:dyDescent="0.3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N774" s="4"/>
      <c r="O774" s="5"/>
      <c r="P774" s="5"/>
      <c r="Q774" s="5"/>
      <c r="R774" s="5"/>
      <c r="S774" s="5"/>
      <c r="T774" s="5"/>
    </row>
    <row r="775" spans="1:20" x14ac:dyDescent="0.3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N775" s="4"/>
      <c r="O775" s="5"/>
      <c r="P775" s="5"/>
      <c r="Q775" s="5"/>
      <c r="R775" s="5"/>
      <c r="S775" s="5"/>
      <c r="T775" s="5"/>
    </row>
    <row r="776" spans="1:20" x14ac:dyDescent="0.3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N776" s="4"/>
      <c r="O776" s="5"/>
      <c r="P776" s="5"/>
      <c r="Q776" s="5"/>
      <c r="R776" s="5"/>
      <c r="S776" s="5"/>
      <c r="T776" s="5"/>
    </row>
    <row r="777" spans="1:20" x14ac:dyDescent="0.3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N777" s="4"/>
      <c r="O777" s="5"/>
      <c r="P777" s="5"/>
      <c r="Q777" s="5"/>
      <c r="R777" s="5"/>
      <c r="S777" s="5"/>
      <c r="T777" s="5"/>
    </row>
    <row r="778" spans="1:20" x14ac:dyDescent="0.3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N778" s="4"/>
      <c r="O778" s="5"/>
      <c r="P778" s="5"/>
      <c r="Q778" s="5"/>
      <c r="R778" s="5"/>
      <c r="S778" s="5"/>
      <c r="T778" s="5"/>
    </row>
    <row r="779" spans="1:20" x14ac:dyDescent="0.3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N779" s="4"/>
      <c r="O779" s="5"/>
      <c r="P779" s="5"/>
      <c r="Q779" s="5"/>
      <c r="R779" s="5"/>
      <c r="S779" s="5"/>
      <c r="T779" s="5"/>
    </row>
    <row r="780" spans="1:20" x14ac:dyDescent="0.3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N780" s="4"/>
      <c r="O780" s="5"/>
      <c r="P780" s="5"/>
      <c r="Q780" s="5"/>
      <c r="R780" s="5"/>
      <c r="S780" s="5"/>
      <c r="T780" s="5"/>
    </row>
    <row r="781" spans="1:20" x14ac:dyDescent="0.3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N781" s="4"/>
      <c r="O781" s="5"/>
      <c r="P781" s="5"/>
      <c r="Q781" s="5"/>
      <c r="R781" s="5"/>
      <c r="S781" s="5"/>
      <c r="T781" s="5"/>
    </row>
    <row r="782" spans="1:20" x14ac:dyDescent="0.3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N782" s="4"/>
      <c r="O782" s="5"/>
      <c r="P782" s="5"/>
      <c r="Q782" s="5"/>
      <c r="R782" s="5"/>
      <c r="S782" s="5"/>
      <c r="T782" s="5"/>
    </row>
    <row r="783" spans="1:20" x14ac:dyDescent="0.3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N783" s="4"/>
      <c r="O783" s="5"/>
      <c r="P783" s="5"/>
      <c r="Q783" s="5"/>
      <c r="R783" s="5"/>
      <c r="S783" s="5"/>
      <c r="T783" s="5"/>
    </row>
    <row r="784" spans="1:20" x14ac:dyDescent="0.3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N784" s="4"/>
      <c r="O784" s="5"/>
      <c r="P784" s="5"/>
      <c r="Q784" s="5"/>
      <c r="R784" s="5"/>
      <c r="S784" s="5"/>
      <c r="T784" s="5"/>
    </row>
    <row r="785" spans="1:20" x14ac:dyDescent="0.3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N785" s="4"/>
      <c r="O785" s="5"/>
      <c r="P785" s="5"/>
      <c r="Q785" s="5"/>
      <c r="R785" s="5"/>
      <c r="S785" s="5"/>
      <c r="T785" s="5"/>
    </row>
    <row r="786" spans="1:20" x14ac:dyDescent="0.3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N786" s="4"/>
      <c r="O786" s="5"/>
      <c r="P786" s="5"/>
      <c r="Q786" s="5"/>
      <c r="R786" s="5"/>
      <c r="S786" s="5"/>
      <c r="T786" s="5"/>
    </row>
    <row r="787" spans="1:20" x14ac:dyDescent="0.3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N787" s="4"/>
      <c r="O787" s="5"/>
      <c r="P787" s="5"/>
      <c r="Q787" s="5"/>
      <c r="R787" s="5"/>
      <c r="S787" s="5"/>
      <c r="T787" s="5"/>
    </row>
    <row r="788" spans="1:20" x14ac:dyDescent="0.3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N788" s="4"/>
      <c r="O788" s="5"/>
      <c r="P788" s="5"/>
      <c r="Q788" s="5"/>
      <c r="R788" s="5"/>
      <c r="S788" s="5"/>
      <c r="T788" s="5"/>
    </row>
    <row r="789" spans="1:20" x14ac:dyDescent="0.3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N789" s="4"/>
      <c r="O789" s="5"/>
      <c r="P789" s="5"/>
      <c r="Q789" s="5"/>
      <c r="R789" s="5"/>
      <c r="S789" s="5"/>
      <c r="T789" s="5"/>
    </row>
    <row r="790" spans="1:20" x14ac:dyDescent="0.3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N790" s="4"/>
      <c r="O790" s="5"/>
      <c r="P790" s="5"/>
      <c r="Q790" s="5"/>
      <c r="R790" s="5"/>
      <c r="S790" s="5"/>
      <c r="T790" s="5"/>
    </row>
    <row r="791" spans="1:20" x14ac:dyDescent="0.3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N791" s="4"/>
      <c r="O791" s="5"/>
      <c r="P791" s="5"/>
      <c r="Q791" s="5"/>
      <c r="R791" s="5"/>
      <c r="S791" s="5"/>
      <c r="T791" s="5"/>
    </row>
    <row r="792" spans="1:20" x14ac:dyDescent="0.3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N792" s="4"/>
      <c r="O792" s="5"/>
      <c r="P792" s="5"/>
      <c r="Q792" s="5"/>
      <c r="R792" s="5"/>
      <c r="S792" s="5"/>
      <c r="T792" s="5"/>
    </row>
    <row r="793" spans="1:20" x14ac:dyDescent="0.3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N793" s="4"/>
      <c r="O793" s="5"/>
      <c r="P793" s="5"/>
      <c r="Q793" s="5"/>
      <c r="R793" s="5"/>
      <c r="S793" s="5"/>
      <c r="T793" s="5"/>
    </row>
    <row r="794" spans="1:20" x14ac:dyDescent="0.3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N794" s="4"/>
      <c r="O794" s="5"/>
      <c r="P794" s="5"/>
      <c r="Q794" s="5"/>
      <c r="R794" s="5"/>
      <c r="S794" s="5"/>
      <c r="T794" s="5"/>
    </row>
    <row r="795" spans="1:20" x14ac:dyDescent="0.3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N795" s="4"/>
      <c r="O795" s="5"/>
      <c r="P795" s="5"/>
      <c r="Q795" s="5"/>
      <c r="R795" s="5"/>
      <c r="S795" s="5"/>
      <c r="T795" s="5"/>
    </row>
    <row r="796" spans="1:20" x14ac:dyDescent="0.3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N796" s="4"/>
      <c r="O796" s="5"/>
      <c r="P796" s="5"/>
      <c r="Q796" s="5"/>
      <c r="R796" s="5"/>
      <c r="S796" s="5"/>
      <c r="T796" s="5"/>
    </row>
    <row r="797" spans="1:20" x14ac:dyDescent="0.3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N797" s="4"/>
      <c r="O797" s="5"/>
      <c r="P797" s="5"/>
      <c r="Q797" s="5"/>
      <c r="R797" s="5"/>
      <c r="S797" s="5"/>
      <c r="T797" s="5"/>
    </row>
    <row r="798" spans="1:20" x14ac:dyDescent="0.3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N798" s="4"/>
      <c r="O798" s="5"/>
      <c r="P798" s="5"/>
      <c r="Q798" s="5"/>
      <c r="R798" s="5"/>
      <c r="S798" s="5"/>
      <c r="T798" s="5"/>
    </row>
    <row r="799" spans="1:20" x14ac:dyDescent="0.3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N799" s="4"/>
      <c r="O799" s="5"/>
      <c r="P799" s="5"/>
      <c r="Q799" s="5"/>
      <c r="R799" s="5"/>
      <c r="S799" s="5"/>
      <c r="T799" s="5"/>
    </row>
    <row r="800" spans="1:20" x14ac:dyDescent="0.3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N800" s="4"/>
      <c r="O800" s="5"/>
      <c r="P800" s="5"/>
      <c r="Q800" s="5"/>
      <c r="R800" s="5"/>
      <c r="S800" s="5"/>
      <c r="T800" s="5"/>
    </row>
    <row r="801" spans="1:20" x14ac:dyDescent="0.3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N801" s="4"/>
      <c r="O801" s="5"/>
      <c r="P801" s="5"/>
      <c r="Q801" s="5"/>
      <c r="R801" s="5"/>
      <c r="S801" s="5"/>
      <c r="T801" s="5"/>
    </row>
    <row r="802" spans="1:20" x14ac:dyDescent="0.3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N802" s="4"/>
      <c r="O802" s="5"/>
      <c r="P802" s="5"/>
      <c r="Q802" s="5"/>
      <c r="R802" s="5"/>
      <c r="S802" s="5"/>
      <c r="T802" s="5"/>
    </row>
    <row r="803" spans="1:20" x14ac:dyDescent="0.3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N803" s="4"/>
      <c r="O803" s="5"/>
      <c r="P803" s="5"/>
      <c r="Q803" s="5"/>
      <c r="R803" s="5"/>
      <c r="S803" s="5"/>
      <c r="T803" s="5"/>
    </row>
    <row r="804" spans="1:20" x14ac:dyDescent="0.3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N804" s="4"/>
      <c r="O804" s="5"/>
      <c r="P804" s="5"/>
      <c r="Q804" s="5"/>
      <c r="R804" s="5"/>
      <c r="S804" s="5"/>
      <c r="T804" s="5"/>
    </row>
    <row r="805" spans="1:20" x14ac:dyDescent="0.3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N805" s="4"/>
      <c r="O805" s="5"/>
      <c r="P805" s="5"/>
      <c r="Q805" s="5"/>
      <c r="R805" s="5"/>
      <c r="S805" s="5"/>
      <c r="T805" s="5"/>
    </row>
    <row r="806" spans="1:20" x14ac:dyDescent="0.3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N806" s="4"/>
      <c r="O806" s="5"/>
      <c r="P806" s="5"/>
      <c r="Q806" s="5"/>
      <c r="R806" s="5"/>
      <c r="S806" s="5"/>
      <c r="T806" s="5"/>
    </row>
    <row r="807" spans="1:20" x14ac:dyDescent="0.3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N807" s="4"/>
      <c r="O807" s="5"/>
      <c r="P807" s="5"/>
      <c r="Q807" s="5"/>
      <c r="R807" s="5"/>
      <c r="S807" s="5"/>
      <c r="T807" s="5"/>
    </row>
    <row r="808" spans="1:20" x14ac:dyDescent="0.3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N808" s="4"/>
      <c r="O808" s="5"/>
      <c r="P808" s="5"/>
      <c r="Q808" s="5"/>
      <c r="R808" s="5"/>
      <c r="S808" s="5"/>
      <c r="T808" s="5"/>
    </row>
    <row r="809" spans="1:20" x14ac:dyDescent="0.3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N809" s="4"/>
      <c r="O809" s="5"/>
      <c r="P809" s="5"/>
      <c r="Q809" s="5"/>
      <c r="R809" s="5"/>
      <c r="S809" s="5"/>
      <c r="T809" s="5"/>
    </row>
    <row r="810" spans="1:20" x14ac:dyDescent="0.3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N810" s="4"/>
      <c r="O810" s="5"/>
      <c r="P810" s="5"/>
      <c r="Q810" s="5"/>
      <c r="R810" s="5"/>
      <c r="S810" s="5"/>
      <c r="T810" s="5"/>
    </row>
    <row r="811" spans="1:20" x14ac:dyDescent="0.3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N811" s="4"/>
      <c r="O811" s="5"/>
      <c r="P811" s="5"/>
      <c r="Q811" s="5"/>
      <c r="R811" s="5"/>
      <c r="S811" s="5"/>
      <c r="T811" s="5"/>
    </row>
    <row r="812" spans="1:20" x14ac:dyDescent="0.3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N812" s="4"/>
      <c r="O812" s="5"/>
      <c r="P812" s="5"/>
      <c r="Q812" s="5"/>
      <c r="R812" s="5"/>
      <c r="S812" s="5"/>
      <c r="T812" s="5"/>
    </row>
    <row r="813" spans="1:20" x14ac:dyDescent="0.3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N813" s="4"/>
      <c r="O813" s="5"/>
      <c r="P813" s="5"/>
      <c r="Q813" s="5"/>
      <c r="R813" s="5"/>
      <c r="S813" s="5"/>
      <c r="T813" s="5"/>
    </row>
    <row r="814" spans="1:20" x14ac:dyDescent="0.3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N814" s="4"/>
      <c r="O814" s="5"/>
      <c r="P814" s="5"/>
      <c r="Q814" s="5"/>
      <c r="R814" s="5"/>
      <c r="S814" s="5"/>
      <c r="T814" s="5"/>
    </row>
    <row r="815" spans="1:20" x14ac:dyDescent="0.3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N815" s="4"/>
      <c r="O815" s="5"/>
      <c r="P815" s="5"/>
      <c r="Q815" s="5"/>
      <c r="R815" s="5"/>
      <c r="S815" s="5"/>
      <c r="T815" s="5"/>
    </row>
    <row r="816" spans="1:20" x14ac:dyDescent="0.3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N816" s="4"/>
      <c r="O816" s="5"/>
      <c r="P816" s="5"/>
      <c r="Q816" s="5"/>
      <c r="R816" s="5"/>
      <c r="S816" s="5"/>
      <c r="T816" s="5"/>
    </row>
    <row r="817" spans="1:20" x14ac:dyDescent="0.3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N817" s="4"/>
      <c r="O817" s="5"/>
      <c r="P817" s="5"/>
      <c r="Q817" s="5"/>
      <c r="R817" s="5"/>
      <c r="S817" s="5"/>
      <c r="T817" s="5"/>
    </row>
    <row r="818" spans="1:20" x14ac:dyDescent="0.3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N818" s="4"/>
      <c r="O818" s="5"/>
      <c r="P818" s="5"/>
      <c r="Q818" s="5"/>
      <c r="R818" s="5"/>
      <c r="S818" s="5"/>
      <c r="T818" s="5"/>
    </row>
    <row r="819" spans="1:20" x14ac:dyDescent="0.3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N819" s="4"/>
      <c r="O819" s="5"/>
      <c r="P819" s="5"/>
      <c r="Q819" s="5"/>
      <c r="R819" s="5"/>
      <c r="S819" s="5"/>
      <c r="T819" s="5"/>
    </row>
    <row r="820" spans="1:20" x14ac:dyDescent="0.3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N820" s="4"/>
      <c r="O820" s="5"/>
      <c r="P820" s="5"/>
      <c r="Q820" s="5"/>
      <c r="R820" s="5"/>
      <c r="S820" s="5"/>
      <c r="T820" s="5"/>
    </row>
    <row r="821" spans="1:20" x14ac:dyDescent="0.3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N821" s="4"/>
      <c r="O821" s="5"/>
      <c r="P821" s="5"/>
      <c r="Q821" s="5"/>
      <c r="R821" s="5"/>
      <c r="S821" s="5"/>
      <c r="T821" s="5"/>
    </row>
    <row r="822" spans="1:20" x14ac:dyDescent="0.3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N822" s="4"/>
      <c r="O822" s="5"/>
      <c r="P822" s="5"/>
      <c r="Q822" s="5"/>
      <c r="R822" s="5"/>
      <c r="S822" s="5"/>
      <c r="T822" s="5"/>
    </row>
    <row r="823" spans="1:20" x14ac:dyDescent="0.3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N823" s="4"/>
      <c r="O823" s="5"/>
      <c r="P823" s="5"/>
      <c r="Q823" s="5"/>
      <c r="R823" s="5"/>
      <c r="S823" s="5"/>
      <c r="T823" s="5"/>
    </row>
    <row r="824" spans="1:20" x14ac:dyDescent="0.3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N824" s="4"/>
      <c r="O824" s="5"/>
      <c r="P824" s="5"/>
      <c r="Q824" s="5"/>
      <c r="R824" s="5"/>
      <c r="S824" s="5"/>
      <c r="T824" s="5"/>
    </row>
    <row r="825" spans="1:20" x14ac:dyDescent="0.3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N825" s="4"/>
      <c r="O825" s="5"/>
      <c r="P825" s="5"/>
      <c r="Q825" s="5"/>
      <c r="R825" s="5"/>
      <c r="S825" s="5"/>
      <c r="T825" s="5"/>
    </row>
    <row r="826" spans="1:20" x14ac:dyDescent="0.3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N826" s="4"/>
      <c r="O826" s="5"/>
      <c r="P826" s="5"/>
      <c r="Q826" s="5"/>
      <c r="R826" s="5"/>
      <c r="S826" s="5"/>
      <c r="T826" s="5"/>
    </row>
    <row r="827" spans="1:20" x14ac:dyDescent="0.3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N827" s="4"/>
      <c r="O827" s="5"/>
      <c r="P827" s="5"/>
      <c r="Q827" s="5"/>
      <c r="R827" s="5"/>
      <c r="S827" s="5"/>
      <c r="T827" s="5"/>
    </row>
    <row r="828" spans="1:20" x14ac:dyDescent="0.3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N828" s="4"/>
      <c r="O828" s="5"/>
      <c r="P828" s="5"/>
      <c r="Q828" s="5"/>
      <c r="R828" s="5"/>
      <c r="S828" s="5"/>
      <c r="T828" s="5"/>
    </row>
    <row r="829" spans="1:20" x14ac:dyDescent="0.3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N829" s="4"/>
      <c r="O829" s="5"/>
      <c r="P829" s="5"/>
      <c r="Q829" s="5"/>
      <c r="R829" s="5"/>
      <c r="S829" s="5"/>
      <c r="T829" s="5"/>
    </row>
    <row r="830" spans="1:20" x14ac:dyDescent="0.3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N830" s="4"/>
      <c r="O830" s="5"/>
      <c r="P830" s="5"/>
      <c r="Q830" s="5"/>
      <c r="R830" s="5"/>
      <c r="S830" s="5"/>
      <c r="T830" s="5"/>
    </row>
    <row r="831" spans="1:20" x14ac:dyDescent="0.3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N831" s="4"/>
      <c r="O831" s="5"/>
      <c r="P831" s="5"/>
      <c r="Q831" s="5"/>
      <c r="R831" s="5"/>
      <c r="S831" s="5"/>
      <c r="T831" s="5"/>
    </row>
    <row r="832" spans="1:20" x14ac:dyDescent="0.3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N832" s="4"/>
      <c r="O832" s="5"/>
      <c r="P832" s="5"/>
      <c r="Q832" s="5"/>
      <c r="R832" s="5"/>
      <c r="S832" s="5"/>
      <c r="T832" s="5"/>
    </row>
    <row r="833" spans="1:20" x14ac:dyDescent="0.3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N833" s="4"/>
      <c r="O833" s="5"/>
      <c r="P833" s="5"/>
      <c r="Q833" s="5"/>
      <c r="R833" s="5"/>
      <c r="S833" s="5"/>
      <c r="T833" s="5"/>
    </row>
    <row r="834" spans="1:20" x14ac:dyDescent="0.3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N834" s="4"/>
      <c r="O834" s="5"/>
      <c r="P834" s="5"/>
      <c r="Q834" s="5"/>
      <c r="R834" s="5"/>
      <c r="S834" s="5"/>
      <c r="T834" s="5"/>
    </row>
    <row r="835" spans="1:20" x14ac:dyDescent="0.3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N835" s="4"/>
      <c r="O835" s="5"/>
      <c r="P835" s="5"/>
      <c r="Q835" s="5"/>
      <c r="R835" s="5"/>
      <c r="S835" s="5"/>
      <c r="T835" s="5"/>
    </row>
    <row r="836" spans="1:20" x14ac:dyDescent="0.3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N836" s="4"/>
      <c r="O836" s="5"/>
      <c r="P836" s="5"/>
      <c r="Q836" s="5"/>
      <c r="R836" s="5"/>
      <c r="S836" s="5"/>
      <c r="T836" s="5"/>
    </row>
    <row r="837" spans="1:20" x14ac:dyDescent="0.3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N837" s="4"/>
      <c r="O837" s="5"/>
      <c r="P837" s="5"/>
      <c r="Q837" s="5"/>
      <c r="R837" s="5"/>
      <c r="S837" s="5"/>
      <c r="T837" s="5"/>
    </row>
    <row r="838" spans="1:20" x14ac:dyDescent="0.3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N838" s="4"/>
      <c r="O838" s="5"/>
      <c r="P838" s="5"/>
      <c r="Q838" s="5"/>
      <c r="R838" s="5"/>
      <c r="S838" s="5"/>
      <c r="T838" s="5"/>
    </row>
    <row r="839" spans="1:20" x14ac:dyDescent="0.3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N839" s="4"/>
      <c r="O839" s="5"/>
      <c r="P839" s="5"/>
      <c r="Q839" s="5"/>
      <c r="R839" s="5"/>
      <c r="S839" s="5"/>
      <c r="T839" s="5"/>
    </row>
    <row r="840" spans="1:20" x14ac:dyDescent="0.3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N840" s="4"/>
      <c r="O840" s="5"/>
      <c r="P840" s="5"/>
      <c r="Q840" s="5"/>
      <c r="R840" s="5"/>
      <c r="S840" s="5"/>
      <c r="T840" s="5"/>
    </row>
    <row r="841" spans="1:20" x14ac:dyDescent="0.3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N841" s="4"/>
      <c r="O841" s="5"/>
      <c r="P841" s="5"/>
      <c r="Q841" s="5"/>
      <c r="R841" s="5"/>
      <c r="S841" s="5"/>
      <c r="T841" s="5"/>
    </row>
    <row r="842" spans="1:20" x14ac:dyDescent="0.3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N842" s="4"/>
      <c r="O842" s="5"/>
      <c r="P842" s="5"/>
      <c r="Q842" s="5"/>
      <c r="R842" s="5"/>
      <c r="S842" s="5"/>
      <c r="T842" s="5"/>
    </row>
    <row r="843" spans="1:20" x14ac:dyDescent="0.3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N843" s="4"/>
      <c r="O843" s="5"/>
      <c r="P843" s="5"/>
      <c r="Q843" s="5"/>
      <c r="R843" s="5"/>
      <c r="S843" s="5"/>
      <c r="T843" s="5"/>
    </row>
    <row r="844" spans="1:20" x14ac:dyDescent="0.3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N844" s="4"/>
      <c r="O844" s="5"/>
      <c r="P844" s="5"/>
      <c r="Q844" s="5"/>
      <c r="R844" s="5"/>
      <c r="S844" s="5"/>
      <c r="T844" s="5"/>
    </row>
    <row r="845" spans="1:20" x14ac:dyDescent="0.3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N845" s="4"/>
      <c r="O845" s="5"/>
      <c r="P845" s="5"/>
      <c r="Q845" s="5"/>
      <c r="R845" s="5"/>
      <c r="S845" s="5"/>
      <c r="T845" s="5"/>
    </row>
    <row r="846" spans="1:20" x14ac:dyDescent="0.3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N846" s="4"/>
      <c r="O846" s="5"/>
      <c r="P846" s="5"/>
      <c r="Q846" s="5"/>
      <c r="R846" s="5"/>
      <c r="S846" s="5"/>
      <c r="T846" s="5"/>
    </row>
    <row r="847" spans="1:20" x14ac:dyDescent="0.3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N847" s="4"/>
      <c r="O847" s="5"/>
      <c r="P847" s="5"/>
      <c r="Q847" s="5"/>
      <c r="R847" s="5"/>
      <c r="S847" s="5"/>
      <c r="T847" s="5"/>
    </row>
    <row r="848" spans="1:20" x14ac:dyDescent="0.3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N848" s="4"/>
      <c r="O848" s="5"/>
      <c r="P848" s="5"/>
      <c r="Q848" s="5"/>
      <c r="R848" s="5"/>
      <c r="S848" s="5"/>
      <c r="T848" s="5"/>
    </row>
    <row r="849" spans="1:20" x14ac:dyDescent="0.3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N849" s="4"/>
      <c r="O849" s="5"/>
      <c r="P849" s="5"/>
      <c r="Q849" s="5"/>
      <c r="R849" s="5"/>
      <c r="S849" s="5"/>
      <c r="T849" s="5"/>
    </row>
    <row r="850" spans="1:20" x14ac:dyDescent="0.3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N850" s="4"/>
      <c r="O850" s="5"/>
      <c r="P850" s="5"/>
      <c r="Q850" s="5"/>
      <c r="R850" s="5"/>
      <c r="S850" s="5"/>
      <c r="T850" s="5"/>
    </row>
    <row r="851" spans="1:20" x14ac:dyDescent="0.3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N851" s="4"/>
      <c r="O851" s="5"/>
      <c r="P851" s="5"/>
      <c r="Q851" s="5"/>
      <c r="R851" s="5"/>
      <c r="S851" s="5"/>
      <c r="T851" s="5"/>
    </row>
    <row r="852" spans="1:20" x14ac:dyDescent="0.3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N852" s="4"/>
      <c r="O852" s="5"/>
      <c r="P852" s="5"/>
      <c r="Q852" s="5"/>
      <c r="R852" s="5"/>
      <c r="S852" s="5"/>
      <c r="T852" s="5"/>
    </row>
    <row r="853" spans="1:20" x14ac:dyDescent="0.3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N853" s="4"/>
      <c r="O853" s="5"/>
      <c r="P853" s="5"/>
      <c r="Q853" s="5"/>
      <c r="R853" s="5"/>
      <c r="S853" s="5"/>
      <c r="T853" s="5"/>
    </row>
    <row r="854" spans="1:20" x14ac:dyDescent="0.3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N854" s="4"/>
      <c r="O854" s="5"/>
      <c r="P854" s="5"/>
      <c r="Q854" s="5"/>
      <c r="R854" s="5"/>
      <c r="S854" s="5"/>
      <c r="T854" s="5"/>
    </row>
    <row r="855" spans="1:20" x14ac:dyDescent="0.3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N855" s="4"/>
      <c r="O855" s="5"/>
      <c r="P855" s="5"/>
      <c r="Q855" s="5"/>
      <c r="R855" s="5"/>
      <c r="S855" s="5"/>
      <c r="T855" s="5"/>
    </row>
    <row r="856" spans="1:20" x14ac:dyDescent="0.3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N856" s="4"/>
      <c r="O856" s="5"/>
      <c r="P856" s="5"/>
      <c r="Q856" s="5"/>
      <c r="R856" s="5"/>
      <c r="S856" s="5"/>
      <c r="T856" s="5"/>
    </row>
    <row r="857" spans="1:20" x14ac:dyDescent="0.3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N857" s="4"/>
      <c r="O857" s="5"/>
      <c r="P857" s="5"/>
      <c r="Q857" s="5"/>
      <c r="R857" s="5"/>
      <c r="S857" s="5"/>
      <c r="T857" s="5"/>
    </row>
    <row r="858" spans="1:20" x14ac:dyDescent="0.3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N858" s="4"/>
      <c r="O858" s="5"/>
      <c r="P858" s="5"/>
      <c r="Q858" s="5"/>
      <c r="R858" s="5"/>
      <c r="S858" s="5"/>
      <c r="T858" s="5"/>
    </row>
    <row r="859" spans="1:20" x14ac:dyDescent="0.3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N859" s="4"/>
      <c r="O859" s="5"/>
      <c r="P859" s="5"/>
      <c r="Q859" s="5"/>
      <c r="R859" s="5"/>
      <c r="S859" s="5"/>
      <c r="T859" s="5"/>
    </row>
    <row r="860" spans="1:20" x14ac:dyDescent="0.3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N860" s="4"/>
      <c r="O860" s="5"/>
      <c r="P860" s="5"/>
      <c r="Q860" s="5"/>
      <c r="R860" s="5"/>
      <c r="S860" s="5"/>
      <c r="T860" s="5"/>
    </row>
    <row r="861" spans="1:20" x14ac:dyDescent="0.3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N861" s="4"/>
      <c r="O861" s="5"/>
      <c r="P861" s="5"/>
      <c r="Q861" s="5"/>
      <c r="R861" s="5"/>
      <c r="S861" s="5"/>
      <c r="T861" s="5"/>
    </row>
    <row r="862" spans="1:20" x14ac:dyDescent="0.3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N862" s="4"/>
      <c r="O862" s="5"/>
      <c r="P862" s="5"/>
      <c r="Q862" s="5"/>
      <c r="R862" s="5"/>
      <c r="S862" s="5"/>
      <c r="T862" s="5"/>
    </row>
    <row r="863" spans="1:20" x14ac:dyDescent="0.3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N863" s="4"/>
      <c r="O863" s="5"/>
      <c r="P863" s="5"/>
      <c r="Q863" s="5"/>
      <c r="R863" s="5"/>
      <c r="S863" s="5"/>
      <c r="T863" s="5"/>
    </row>
    <row r="864" spans="1:20" x14ac:dyDescent="0.3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N864" s="4"/>
      <c r="O864" s="5"/>
      <c r="P864" s="5"/>
      <c r="Q864" s="5"/>
      <c r="R864" s="5"/>
      <c r="S864" s="5"/>
      <c r="T864" s="5"/>
    </row>
    <row r="865" spans="1:20" x14ac:dyDescent="0.3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N865" s="4"/>
      <c r="O865" s="5"/>
      <c r="P865" s="5"/>
      <c r="Q865" s="5"/>
      <c r="R865" s="5"/>
      <c r="S865" s="5"/>
      <c r="T865" s="5"/>
    </row>
    <row r="866" spans="1:20" x14ac:dyDescent="0.3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N866" s="4"/>
      <c r="O866" s="5"/>
      <c r="P866" s="5"/>
      <c r="Q866" s="5"/>
      <c r="R866" s="5"/>
      <c r="S866" s="5"/>
      <c r="T866" s="5"/>
    </row>
    <row r="867" spans="1:20" x14ac:dyDescent="0.3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N867" s="4"/>
      <c r="O867" s="5"/>
      <c r="P867" s="5"/>
      <c r="Q867" s="5"/>
      <c r="R867" s="5"/>
      <c r="S867" s="5"/>
      <c r="T867" s="5"/>
    </row>
    <row r="868" spans="1:20" x14ac:dyDescent="0.3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N868" s="4"/>
      <c r="O868" s="5"/>
      <c r="P868" s="5"/>
      <c r="Q868" s="5"/>
      <c r="R868" s="5"/>
      <c r="S868" s="5"/>
      <c r="T868" s="5"/>
    </row>
    <row r="869" spans="1:20" x14ac:dyDescent="0.3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N869" s="4"/>
      <c r="O869" s="5"/>
      <c r="P869" s="5"/>
      <c r="Q869" s="5"/>
      <c r="R869" s="5"/>
      <c r="S869" s="5"/>
      <c r="T869" s="5"/>
    </row>
    <row r="870" spans="1:20" x14ac:dyDescent="0.3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N870" s="4"/>
      <c r="O870" s="5"/>
      <c r="P870" s="5"/>
      <c r="Q870" s="5"/>
      <c r="R870" s="5"/>
      <c r="S870" s="5"/>
      <c r="T870" s="5"/>
    </row>
    <row r="871" spans="1:20" x14ac:dyDescent="0.3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N871" s="4"/>
      <c r="O871" s="5"/>
      <c r="P871" s="5"/>
      <c r="Q871" s="5"/>
      <c r="R871" s="5"/>
      <c r="S871" s="5"/>
      <c r="T871" s="5"/>
    </row>
    <row r="872" spans="1:20" x14ac:dyDescent="0.3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N872" s="4"/>
      <c r="O872" s="5"/>
      <c r="P872" s="5"/>
      <c r="Q872" s="5"/>
      <c r="R872" s="5"/>
      <c r="S872" s="5"/>
      <c r="T872" s="5"/>
    </row>
    <row r="873" spans="1:20" x14ac:dyDescent="0.3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N873" s="4"/>
      <c r="O873" s="5"/>
      <c r="P873" s="5"/>
      <c r="Q873" s="5"/>
      <c r="R873" s="5"/>
      <c r="S873" s="5"/>
      <c r="T873" s="5"/>
    </row>
    <row r="874" spans="1:20" x14ac:dyDescent="0.3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N874" s="4"/>
      <c r="O874" s="5"/>
      <c r="P874" s="5"/>
      <c r="Q874" s="5"/>
      <c r="R874" s="5"/>
      <c r="S874" s="5"/>
      <c r="T874" s="5"/>
    </row>
    <row r="875" spans="1:20" x14ac:dyDescent="0.3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N875" s="4"/>
      <c r="O875" s="5"/>
      <c r="P875" s="5"/>
      <c r="Q875" s="5"/>
      <c r="R875" s="5"/>
      <c r="S875" s="5"/>
      <c r="T875" s="5"/>
    </row>
    <row r="876" spans="1:20" x14ac:dyDescent="0.3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N876" s="4"/>
      <c r="O876" s="5"/>
      <c r="P876" s="5"/>
      <c r="Q876" s="5"/>
      <c r="R876" s="5"/>
      <c r="S876" s="5"/>
      <c r="T876" s="5"/>
    </row>
    <row r="877" spans="1:20" x14ac:dyDescent="0.3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N877" s="4"/>
      <c r="O877" s="5"/>
      <c r="P877" s="5"/>
      <c r="Q877" s="5"/>
      <c r="R877" s="5"/>
      <c r="S877" s="5"/>
      <c r="T877" s="5"/>
    </row>
    <row r="878" spans="1:20" x14ac:dyDescent="0.3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N878" s="4"/>
      <c r="O878" s="5"/>
      <c r="P878" s="5"/>
      <c r="Q878" s="5"/>
      <c r="R878" s="5"/>
      <c r="S878" s="5"/>
      <c r="T878" s="5"/>
    </row>
    <row r="879" spans="1:20" x14ac:dyDescent="0.3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N879" s="4"/>
      <c r="O879" s="5"/>
      <c r="P879" s="5"/>
      <c r="Q879" s="5"/>
      <c r="R879" s="5"/>
      <c r="S879" s="5"/>
      <c r="T879" s="5"/>
    </row>
    <row r="880" spans="1:20" x14ac:dyDescent="0.3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N880" s="4"/>
      <c r="O880" s="5"/>
      <c r="P880" s="5"/>
      <c r="Q880" s="5"/>
      <c r="R880" s="5"/>
      <c r="S880" s="5"/>
      <c r="T880" s="5"/>
    </row>
    <row r="881" spans="1:20" x14ac:dyDescent="0.3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N881" s="4"/>
      <c r="O881" s="5"/>
      <c r="P881" s="5"/>
      <c r="Q881" s="5"/>
      <c r="R881" s="5"/>
      <c r="S881" s="5"/>
      <c r="T881" s="5"/>
    </row>
    <row r="882" spans="1:20" x14ac:dyDescent="0.3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N882" s="4"/>
      <c r="O882" s="5"/>
      <c r="P882" s="5"/>
      <c r="Q882" s="5"/>
      <c r="R882" s="5"/>
      <c r="S882" s="5"/>
      <c r="T882" s="5"/>
    </row>
    <row r="883" spans="1:20" x14ac:dyDescent="0.3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N883" s="4"/>
      <c r="O883" s="5"/>
      <c r="P883" s="5"/>
      <c r="Q883" s="5"/>
      <c r="R883" s="5"/>
      <c r="S883" s="5"/>
      <c r="T883" s="5"/>
    </row>
    <row r="884" spans="1:20" x14ac:dyDescent="0.3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N884" s="4"/>
      <c r="O884" s="5"/>
      <c r="P884" s="5"/>
      <c r="Q884" s="5"/>
      <c r="R884" s="5"/>
      <c r="S884" s="5"/>
      <c r="T884" s="5"/>
    </row>
    <row r="885" spans="1:20" x14ac:dyDescent="0.3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N885" s="4"/>
      <c r="O885" s="5"/>
      <c r="P885" s="5"/>
      <c r="Q885" s="5"/>
      <c r="R885" s="5"/>
      <c r="S885" s="5"/>
      <c r="T885" s="5"/>
    </row>
    <row r="886" spans="1:20" x14ac:dyDescent="0.3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N886" s="4"/>
      <c r="O886" s="5"/>
      <c r="P886" s="5"/>
      <c r="Q886" s="5"/>
      <c r="R886" s="5"/>
      <c r="S886" s="5"/>
      <c r="T886" s="5"/>
    </row>
    <row r="887" spans="1:20" x14ac:dyDescent="0.3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N887" s="4"/>
      <c r="O887" s="5"/>
      <c r="P887" s="5"/>
      <c r="Q887" s="5"/>
      <c r="R887" s="5"/>
      <c r="S887" s="5"/>
      <c r="T887" s="5"/>
    </row>
    <row r="888" spans="1:20" x14ac:dyDescent="0.3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N888" s="4"/>
      <c r="O888" s="5"/>
      <c r="P888" s="5"/>
      <c r="Q888" s="5"/>
      <c r="R888" s="5"/>
      <c r="S888" s="5"/>
      <c r="T888" s="5"/>
    </row>
    <row r="889" spans="1:20" x14ac:dyDescent="0.3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N889" s="4"/>
      <c r="O889" s="5"/>
      <c r="P889" s="5"/>
      <c r="Q889" s="5"/>
      <c r="R889" s="5"/>
      <c r="S889" s="5"/>
      <c r="T889" s="5"/>
    </row>
    <row r="890" spans="1:20" x14ac:dyDescent="0.3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N890" s="4"/>
      <c r="O890" s="5"/>
      <c r="P890" s="5"/>
      <c r="Q890" s="5"/>
      <c r="R890" s="5"/>
      <c r="S890" s="5"/>
      <c r="T890" s="5"/>
    </row>
    <row r="891" spans="1:20" x14ac:dyDescent="0.3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N891" s="4"/>
      <c r="O891" s="5"/>
      <c r="P891" s="5"/>
      <c r="Q891" s="5"/>
      <c r="R891" s="5"/>
      <c r="S891" s="5"/>
      <c r="T891" s="5"/>
    </row>
    <row r="892" spans="1:20" x14ac:dyDescent="0.3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N892" s="4"/>
      <c r="O892" s="5"/>
      <c r="P892" s="5"/>
      <c r="Q892" s="5"/>
      <c r="R892" s="5"/>
      <c r="S892" s="5"/>
      <c r="T892" s="5"/>
    </row>
    <row r="893" spans="1:20" x14ac:dyDescent="0.3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N893" s="4"/>
      <c r="O893" s="5"/>
      <c r="P893" s="5"/>
      <c r="Q893" s="5"/>
      <c r="R893" s="5"/>
      <c r="S893" s="5"/>
      <c r="T893" s="5"/>
    </row>
    <row r="894" spans="1:20" x14ac:dyDescent="0.3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N894" s="4"/>
      <c r="O894" s="5"/>
      <c r="P894" s="5"/>
      <c r="Q894" s="5"/>
      <c r="R894" s="5"/>
      <c r="S894" s="5"/>
      <c r="T894" s="5"/>
    </row>
    <row r="895" spans="1:20" x14ac:dyDescent="0.3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N895" s="4"/>
      <c r="O895" s="5"/>
      <c r="P895" s="5"/>
      <c r="Q895" s="5"/>
      <c r="R895" s="5"/>
      <c r="S895" s="5"/>
      <c r="T895" s="5"/>
    </row>
    <row r="896" spans="1:20" x14ac:dyDescent="0.3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N896" s="4"/>
      <c r="O896" s="5"/>
      <c r="P896" s="5"/>
      <c r="Q896" s="5"/>
      <c r="R896" s="5"/>
      <c r="S896" s="5"/>
      <c r="T896" s="5"/>
    </row>
    <row r="897" spans="1:20" x14ac:dyDescent="0.3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N897" s="4"/>
      <c r="O897" s="5"/>
      <c r="P897" s="5"/>
      <c r="Q897" s="5"/>
      <c r="R897" s="5"/>
      <c r="S897" s="5"/>
      <c r="T897" s="5"/>
    </row>
    <row r="898" spans="1:20" x14ac:dyDescent="0.3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N898" s="4"/>
      <c r="O898" s="5"/>
      <c r="P898" s="5"/>
      <c r="Q898" s="5"/>
      <c r="R898" s="5"/>
      <c r="S898" s="5"/>
      <c r="T898" s="5"/>
    </row>
    <row r="899" spans="1:20" x14ac:dyDescent="0.3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N899" s="4"/>
      <c r="O899" s="5"/>
      <c r="P899" s="5"/>
      <c r="Q899" s="5"/>
      <c r="R899" s="5"/>
      <c r="S899" s="5"/>
      <c r="T899" s="5"/>
    </row>
    <row r="900" spans="1:20" x14ac:dyDescent="0.3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N900" s="4"/>
      <c r="O900" s="5"/>
      <c r="P900" s="5"/>
      <c r="Q900" s="5"/>
      <c r="R900" s="5"/>
      <c r="S900" s="5"/>
      <c r="T900" s="5"/>
    </row>
    <row r="901" spans="1:20" x14ac:dyDescent="0.3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N901" s="4"/>
      <c r="O901" s="5"/>
      <c r="P901" s="5"/>
      <c r="Q901" s="5"/>
      <c r="R901" s="5"/>
      <c r="S901" s="5"/>
      <c r="T901" s="5"/>
    </row>
    <row r="902" spans="1:20" x14ac:dyDescent="0.3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N902" s="4"/>
      <c r="O902" s="5"/>
      <c r="P902" s="5"/>
      <c r="Q902" s="5"/>
      <c r="R902" s="5"/>
      <c r="S902" s="5"/>
      <c r="T902" s="5"/>
    </row>
    <row r="903" spans="1:20" x14ac:dyDescent="0.3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N903" s="4"/>
      <c r="O903" s="5"/>
      <c r="P903" s="5"/>
      <c r="Q903" s="5"/>
      <c r="R903" s="5"/>
      <c r="S903" s="5"/>
      <c r="T903" s="5"/>
    </row>
    <row r="904" spans="1:20" x14ac:dyDescent="0.3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N904" s="4"/>
      <c r="O904" s="5"/>
      <c r="P904" s="5"/>
      <c r="Q904" s="5"/>
      <c r="R904" s="5"/>
      <c r="S904" s="5"/>
      <c r="T904" s="5"/>
    </row>
    <row r="905" spans="1:20" x14ac:dyDescent="0.3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N905" s="4"/>
      <c r="O905" s="5"/>
      <c r="P905" s="5"/>
      <c r="Q905" s="5"/>
      <c r="R905" s="5"/>
      <c r="S905" s="5"/>
      <c r="T905" s="5"/>
    </row>
    <row r="906" spans="1:20" x14ac:dyDescent="0.3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N906" s="4"/>
      <c r="O906" s="5"/>
      <c r="P906" s="5"/>
      <c r="Q906" s="5"/>
      <c r="R906" s="5"/>
      <c r="S906" s="5"/>
      <c r="T906" s="5"/>
    </row>
    <row r="907" spans="1:20" x14ac:dyDescent="0.3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N907" s="4"/>
      <c r="O907" s="5"/>
      <c r="P907" s="5"/>
      <c r="Q907" s="5"/>
      <c r="R907" s="5"/>
      <c r="S907" s="5"/>
      <c r="T907" s="5"/>
    </row>
    <row r="908" spans="1:20" x14ac:dyDescent="0.3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N908" s="4"/>
      <c r="O908" s="5"/>
      <c r="P908" s="5"/>
      <c r="Q908" s="5"/>
      <c r="R908" s="5"/>
      <c r="S908" s="5"/>
      <c r="T908" s="5"/>
    </row>
    <row r="909" spans="1:20" x14ac:dyDescent="0.3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N909" s="4"/>
      <c r="O909" s="5"/>
      <c r="P909" s="5"/>
      <c r="Q909" s="5"/>
      <c r="R909" s="5"/>
      <c r="S909" s="5"/>
      <c r="T909" s="5"/>
    </row>
    <row r="910" spans="1:20" x14ac:dyDescent="0.3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N910" s="4"/>
      <c r="O910" s="5"/>
      <c r="P910" s="5"/>
      <c r="Q910" s="5"/>
      <c r="R910" s="5"/>
      <c r="S910" s="5"/>
      <c r="T910" s="5"/>
    </row>
    <row r="911" spans="1:20" x14ac:dyDescent="0.3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N911" s="4"/>
      <c r="O911" s="5"/>
      <c r="P911" s="5"/>
      <c r="Q911" s="5"/>
      <c r="R911" s="5"/>
      <c r="S911" s="5"/>
      <c r="T911" s="5"/>
    </row>
    <row r="912" spans="1:20" x14ac:dyDescent="0.3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N912" s="4"/>
      <c r="O912" s="5"/>
      <c r="P912" s="5"/>
      <c r="Q912" s="5"/>
      <c r="R912" s="5"/>
      <c r="S912" s="5"/>
      <c r="T912" s="5"/>
    </row>
    <row r="913" spans="1:20" x14ac:dyDescent="0.3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N913" s="4"/>
      <c r="O913" s="5"/>
      <c r="P913" s="5"/>
      <c r="Q913" s="5"/>
      <c r="R913" s="5"/>
      <c r="S913" s="5"/>
      <c r="T913" s="5"/>
    </row>
    <row r="914" spans="1:20" x14ac:dyDescent="0.3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N914" s="4"/>
      <c r="O914" s="5"/>
      <c r="P914" s="5"/>
      <c r="Q914" s="5"/>
      <c r="R914" s="5"/>
      <c r="S914" s="5"/>
      <c r="T914" s="5"/>
    </row>
    <row r="915" spans="1:20" x14ac:dyDescent="0.3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N915" s="4"/>
      <c r="O915" s="5"/>
      <c r="P915" s="5"/>
      <c r="Q915" s="5"/>
      <c r="R915" s="5"/>
      <c r="S915" s="5"/>
      <c r="T915" s="5"/>
    </row>
    <row r="916" spans="1:20" x14ac:dyDescent="0.3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N916" s="4"/>
      <c r="O916" s="5"/>
      <c r="P916" s="5"/>
      <c r="Q916" s="5"/>
      <c r="R916" s="5"/>
      <c r="S916" s="5"/>
      <c r="T916" s="5"/>
    </row>
    <row r="917" spans="1:20" x14ac:dyDescent="0.3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N917" s="4"/>
      <c r="O917" s="5"/>
      <c r="P917" s="5"/>
      <c r="Q917" s="5"/>
      <c r="R917" s="5"/>
      <c r="S917" s="5"/>
      <c r="T917" s="5"/>
    </row>
    <row r="918" spans="1:20" x14ac:dyDescent="0.3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N918" s="4"/>
      <c r="O918" s="5"/>
      <c r="P918" s="5"/>
      <c r="Q918" s="5"/>
      <c r="R918" s="5"/>
      <c r="S918" s="5"/>
      <c r="T918" s="5"/>
    </row>
    <row r="919" spans="1:20" x14ac:dyDescent="0.3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N919" s="4"/>
      <c r="O919" s="5"/>
      <c r="P919" s="5"/>
      <c r="Q919" s="5"/>
      <c r="R919" s="5"/>
      <c r="S919" s="5"/>
      <c r="T919" s="5"/>
    </row>
    <row r="920" spans="1:20" x14ac:dyDescent="0.3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N920" s="4"/>
      <c r="O920" s="5"/>
      <c r="P920" s="5"/>
      <c r="Q920" s="5"/>
      <c r="R920" s="5"/>
      <c r="S920" s="5"/>
      <c r="T920" s="5"/>
    </row>
    <row r="921" spans="1:20" x14ac:dyDescent="0.3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N921" s="4"/>
      <c r="O921" s="5"/>
      <c r="P921" s="5"/>
      <c r="Q921" s="5"/>
      <c r="R921" s="5"/>
      <c r="S921" s="5"/>
      <c r="T921" s="5"/>
    </row>
    <row r="922" spans="1:20" x14ac:dyDescent="0.3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N922" s="4"/>
      <c r="O922" s="5"/>
      <c r="P922" s="5"/>
      <c r="Q922" s="5"/>
      <c r="R922" s="5"/>
      <c r="S922" s="5"/>
      <c r="T922" s="5"/>
    </row>
    <row r="923" spans="1:20" x14ac:dyDescent="0.3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N923" s="4"/>
      <c r="O923" s="5"/>
      <c r="P923" s="5"/>
      <c r="Q923" s="5"/>
      <c r="R923" s="5"/>
      <c r="S923" s="5"/>
      <c r="T923" s="5"/>
    </row>
    <row r="924" spans="1:20" x14ac:dyDescent="0.3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N924" s="4"/>
      <c r="O924" s="5"/>
      <c r="P924" s="5"/>
      <c r="Q924" s="5"/>
      <c r="R924" s="5"/>
      <c r="S924" s="5"/>
      <c r="T924" s="5"/>
    </row>
    <row r="925" spans="1:20" x14ac:dyDescent="0.3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N925" s="4"/>
      <c r="O925" s="5"/>
      <c r="P925" s="5"/>
      <c r="Q925" s="5"/>
      <c r="R925" s="5"/>
      <c r="S925" s="5"/>
      <c r="T925" s="5"/>
    </row>
    <row r="926" spans="1:20" x14ac:dyDescent="0.3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N926" s="4"/>
      <c r="O926" s="5"/>
      <c r="P926" s="5"/>
      <c r="Q926" s="5"/>
      <c r="R926" s="5"/>
      <c r="S926" s="5"/>
      <c r="T926" s="5"/>
    </row>
    <row r="927" spans="1:20" x14ac:dyDescent="0.3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N927" s="4"/>
      <c r="O927" s="5"/>
      <c r="P927" s="5"/>
      <c r="Q927" s="5"/>
      <c r="R927" s="5"/>
      <c r="S927" s="5"/>
      <c r="T927" s="5"/>
    </row>
    <row r="928" spans="1:20" x14ac:dyDescent="0.3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N928" s="4"/>
      <c r="O928" s="5"/>
      <c r="P928" s="5"/>
      <c r="Q928" s="5"/>
      <c r="R928" s="5"/>
      <c r="S928" s="5"/>
      <c r="T928" s="5"/>
    </row>
    <row r="929" spans="1:20" x14ac:dyDescent="0.3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N929" s="4"/>
      <c r="O929" s="5"/>
      <c r="P929" s="5"/>
      <c r="Q929" s="5"/>
      <c r="R929" s="5"/>
      <c r="S929" s="5"/>
      <c r="T929" s="5"/>
    </row>
    <row r="930" spans="1:20" x14ac:dyDescent="0.3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N930" s="4"/>
      <c r="O930" s="5"/>
      <c r="P930" s="5"/>
      <c r="Q930" s="5"/>
      <c r="R930" s="5"/>
      <c r="S930" s="5"/>
      <c r="T930" s="5"/>
    </row>
    <row r="931" spans="1:20" x14ac:dyDescent="0.3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N931" s="4"/>
      <c r="O931" s="5"/>
      <c r="P931" s="5"/>
      <c r="Q931" s="5"/>
      <c r="R931" s="5"/>
      <c r="S931" s="5"/>
      <c r="T931" s="5"/>
    </row>
    <row r="932" spans="1:20" x14ac:dyDescent="0.3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N932" s="4"/>
      <c r="O932" s="5"/>
      <c r="P932" s="5"/>
      <c r="Q932" s="5"/>
      <c r="R932" s="5"/>
      <c r="S932" s="5"/>
      <c r="T932" s="5"/>
    </row>
    <row r="933" spans="1:20" x14ac:dyDescent="0.3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N933" s="4"/>
      <c r="O933" s="5"/>
      <c r="P933" s="5"/>
      <c r="Q933" s="5"/>
      <c r="R933" s="5"/>
      <c r="S933" s="5"/>
      <c r="T933" s="5"/>
    </row>
    <row r="934" spans="1:20" x14ac:dyDescent="0.3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N934" s="4"/>
      <c r="O934" s="5"/>
      <c r="P934" s="5"/>
      <c r="Q934" s="5"/>
      <c r="R934" s="5"/>
      <c r="S934" s="5"/>
      <c r="T934" s="5"/>
    </row>
    <row r="935" spans="1:20" x14ac:dyDescent="0.3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N935" s="4"/>
      <c r="O935" s="5"/>
      <c r="P935" s="5"/>
      <c r="Q935" s="5"/>
      <c r="R935" s="5"/>
      <c r="S935" s="5"/>
      <c r="T935" s="5"/>
    </row>
    <row r="936" spans="1:20" x14ac:dyDescent="0.3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N936" s="4"/>
      <c r="O936" s="5"/>
      <c r="P936" s="5"/>
      <c r="Q936" s="5"/>
      <c r="R936" s="5"/>
      <c r="S936" s="5"/>
      <c r="T936" s="5"/>
    </row>
    <row r="937" spans="1:20" x14ac:dyDescent="0.3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N937" s="4"/>
      <c r="O937" s="5"/>
      <c r="P937" s="5"/>
      <c r="Q937" s="5"/>
      <c r="R937" s="5"/>
      <c r="S937" s="5"/>
      <c r="T937" s="5"/>
    </row>
    <row r="938" spans="1:20" x14ac:dyDescent="0.3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N938" s="4"/>
      <c r="O938" s="5"/>
      <c r="P938" s="5"/>
      <c r="Q938" s="5"/>
      <c r="R938" s="5"/>
      <c r="S938" s="5"/>
      <c r="T938" s="5"/>
    </row>
    <row r="939" spans="1:20" x14ac:dyDescent="0.3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N939" s="4"/>
      <c r="O939" s="5"/>
      <c r="P939" s="5"/>
      <c r="Q939" s="5"/>
      <c r="R939" s="5"/>
      <c r="S939" s="5"/>
      <c r="T939" s="5"/>
    </row>
    <row r="940" spans="1:20" x14ac:dyDescent="0.3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N940" s="4"/>
      <c r="O940" s="5"/>
      <c r="P940" s="5"/>
      <c r="Q940" s="5"/>
      <c r="R940" s="5"/>
      <c r="S940" s="5"/>
      <c r="T940" s="5"/>
    </row>
    <row r="941" spans="1:20" x14ac:dyDescent="0.3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N941" s="4"/>
      <c r="O941" s="5"/>
      <c r="P941" s="5"/>
      <c r="Q941" s="5"/>
      <c r="R941" s="5"/>
      <c r="S941" s="5"/>
      <c r="T941" s="5"/>
    </row>
    <row r="942" spans="1:20" x14ac:dyDescent="0.3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N942" s="4"/>
      <c r="O942" s="5"/>
      <c r="P942" s="5"/>
      <c r="Q942" s="5"/>
      <c r="R942" s="5"/>
      <c r="S942" s="5"/>
      <c r="T942" s="5"/>
    </row>
    <row r="943" spans="1:20" x14ac:dyDescent="0.3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N943" s="4"/>
      <c r="O943" s="5"/>
      <c r="P943" s="5"/>
      <c r="Q943" s="5"/>
      <c r="R943" s="5"/>
      <c r="S943" s="5"/>
      <c r="T943" s="5"/>
    </row>
    <row r="944" spans="1:20" x14ac:dyDescent="0.3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N944" s="4"/>
      <c r="O944" s="5"/>
      <c r="P944" s="5"/>
      <c r="Q944" s="5"/>
      <c r="R944" s="5"/>
      <c r="S944" s="5"/>
      <c r="T944" s="5"/>
    </row>
    <row r="945" spans="1:20" x14ac:dyDescent="0.3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N945" s="4"/>
      <c r="O945" s="5"/>
      <c r="P945" s="5"/>
      <c r="Q945" s="5"/>
      <c r="R945" s="5"/>
      <c r="S945" s="5"/>
      <c r="T945" s="5"/>
    </row>
    <row r="946" spans="1:20" x14ac:dyDescent="0.3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N946" s="4"/>
      <c r="O946" s="5"/>
      <c r="P946" s="5"/>
      <c r="Q946" s="5"/>
      <c r="R946" s="5"/>
      <c r="S946" s="5"/>
      <c r="T946" s="5"/>
    </row>
    <row r="947" spans="1:20" x14ac:dyDescent="0.3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N947" s="4"/>
      <c r="O947" s="5"/>
      <c r="P947" s="5"/>
      <c r="Q947" s="5"/>
      <c r="R947" s="5"/>
      <c r="S947" s="5"/>
      <c r="T947" s="5"/>
    </row>
    <row r="948" spans="1:20" x14ac:dyDescent="0.3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N948" s="4"/>
      <c r="O948" s="5"/>
      <c r="P948" s="5"/>
      <c r="Q948" s="5"/>
      <c r="R948" s="5"/>
      <c r="S948" s="5"/>
      <c r="T948" s="5"/>
    </row>
    <row r="949" spans="1:20" x14ac:dyDescent="0.3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N949" s="4"/>
      <c r="O949" s="5"/>
      <c r="P949" s="5"/>
      <c r="Q949" s="5"/>
      <c r="R949" s="5"/>
      <c r="S949" s="5"/>
      <c r="T949" s="5"/>
    </row>
    <row r="950" spans="1:20" x14ac:dyDescent="0.3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N950" s="4"/>
      <c r="O950" s="5"/>
      <c r="P950" s="5"/>
      <c r="Q950" s="5"/>
      <c r="R950" s="5"/>
      <c r="S950" s="5"/>
      <c r="T950" s="5"/>
    </row>
    <row r="951" spans="1:20" x14ac:dyDescent="0.3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N951" s="4"/>
      <c r="O951" s="5"/>
      <c r="P951" s="5"/>
      <c r="Q951" s="5"/>
      <c r="R951" s="5"/>
      <c r="S951" s="5"/>
      <c r="T951" s="5"/>
    </row>
    <row r="952" spans="1:20" x14ac:dyDescent="0.3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N952" s="4"/>
      <c r="O952" s="5"/>
      <c r="P952" s="5"/>
      <c r="Q952" s="5"/>
      <c r="R952" s="5"/>
      <c r="S952" s="5"/>
      <c r="T952" s="5"/>
    </row>
    <row r="953" spans="1:20" x14ac:dyDescent="0.3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N953" s="4"/>
      <c r="O953" s="5"/>
      <c r="P953" s="5"/>
      <c r="Q953" s="5"/>
      <c r="R953" s="5"/>
      <c r="S953" s="5"/>
      <c r="T953" s="5"/>
    </row>
    <row r="954" spans="1:20" x14ac:dyDescent="0.3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N954" s="4"/>
      <c r="O954" s="5"/>
      <c r="P954" s="5"/>
      <c r="Q954" s="5"/>
      <c r="R954" s="5"/>
      <c r="S954" s="5"/>
      <c r="T954" s="5"/>
    </row>
    <row r="955" spans="1:20" x14ac:dyDescent="0.3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N955" s="4"/>
      <c r="O955" s="5"/>
      <c r="P955" s="5"/>
      <c r="Q955" s="5"/>
      <c r="R955" s="5"/>
      <c r="S955" s="5"/>
      <c r="T955" s="5"/>
    </row>
    <row r="956" spans="1:20" x14ac:dyDescent="0.3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N956" s="4"/>
      <c r="O956" s="5"/>
      <c r="P956" s="5"/>
      <c r="Q956" s="5"/>
      <c r="R956" s="5"/>
      <c r="S956" s="5"/>
      <c r="T956" s="5"/>
    </row>
    <row r="957" spans="1:20" x14ac:dyDescent="0.3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N957" s="4"/>
      <c r="O957" s="5"/>
      <c r="P957" s="5"/>
      <c r="Q957" s="5"/>
      <c r="R957" s="5"/>
      <c r="S957" s="5"/>
      <c r="T957" s="5"/>
    </row>
    <row r="958" spans="1:20" x14ac:dyDescent="0.3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N958" s="4"/>
      <c r="O958" s="5"/>
      <c r="P958" s="5"/>
      <c r="Q958" s="5"/>
      <c r="R958" s="5"/>
      <c r="S958" s="5"/>
      <c r="T958" s="5"/>
    </row>
    <row r="959" spans="1:20" x14ac:dyDescent="0.3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N959" s="4"/>
      <c r="O959" s="5"/>
      <c r="P959" s="5"/>
      <c r="Q959" s="5"/>
      <c r="R959" s="5"/>
      <c r="S959" s="5"/>
      <c r="T959" s="5"/>
    </row>
    <row r="960" spans="1:20" x14ac:dyDescent="0.3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N960" s="4"/>
      <c r="O960" s="5"/>
      <c r="P960" s="5"/>
      <c r="Q960" s="5"/>
      <c r="R960" s="5"/>
      <c r="S960" s="5"/>
      <c r="T960" s="5"/>
    </row>
    <row r="961" spans="1:20" x14ac:dyDescent="0.3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/>
      <c r="L961" s="4"/>
      <c r="N961" s="4"/>
      <c r="O961" s="5"/>
      <c r="P961" s="5"/>
      <c r="Q961" s="5"/>
      <c r="R961" s="5"/>
      <c r="S961" s="5"/>
      <c r="T961" s="5"/>
    </row>
  </sheetData>
  <phoneticPr fontId="20" type="noConversion"/>
  <conditionalFormatting sqref="AE2:AE98">
    <cfRule type="cellIs" dxfId="11" priority="2" operator="equal">
      <formula>2</formula>
    </cfRule>
    <cfRule type="cellIs" dxfId="10" priority="3" operator="equal">
      <formula>1.5</formula>
    </cfRule>
    <cfRule type="cellIs" dxfId="9" priority="4" operator="equal">
      <formula>1</formula>
    </cfRule>
  </conditionalFormatting>
  <conditionalFormatting sqref="AF2:AF9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{A3FEC461-6D1B-48BB-A9FA-028F2B1D95A4}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FEC461-6D1B-48BB-A9FA-028F2B1D95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AF2:AF98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0364-D141-4832-A9A4-78727A54213E}">
  <sheetPr>
    <tabColor theme="9"/>
  </sheetPr>
  <dimension ref="A1:AG103"/>
  <sheetViews>
    <sheetView showGridLines="0" topLeftCell="A74" zoomScale="65" workbookViewId="0">
      <selection activeCell="O2" sqref="O2"/>
    </sheetView>
  </sheetViews>
  <sheetFormatPr defaultRowHeight="14.4" x14ac:dyDescent="0.3"/>
  <cols>
    <col min="1" max="1" width="8.109375" customWidth="1"/>
    <col min="2" max="2" width="10.77734375" customWidth="1"/>
    <col min="3" max="3" width="6.5546875" customWidth="1"/>
    <col min="4" max="4" width="8.33203125" customWidth="1"/>
    <col min="5" max="5" width="3.88671875" customWidth="1"/>
    <col min="6" max="6" width="3.5546875" customWidth="1"/>
    <col min="7" max="7" width="9" customWidth="1"/>
    <col min="8" max="8" width="4.109375" customWidth="1"/>
    <col min="9" max="9" width="4.44140625" customWidth="1"/>
    <col min="10" max="10" width="6.109375" customWidth="1"/>
    <col min="11" max="11" width="7.44140625" customWidth="1"/>
    <col min="12" max="12" width="8.109375" customWidth="1"/>
    <col min="14" max="15" width="9.109375" customWidth="1"/>
    <col min="16" max="16" width="16.44140625" customWidth="1"/>
    <col min="17" max="17" width="15.44140625" customWidth="1"/>
    <col min="18" max="19" width="9.109375" customWidth="1"/>
    <col min="20" max="20" width="12.6640625" customWidth="1"/>
    <col min="22" max="22" width="12.77734375" customWidth="1"/>
    <col min="23" max="23" width="13.44140625" customWidth="1"/>
    <col min="24" max="24" width="11.88671875" customWidth="1"/>
    <col min="25" max="25" width="12.6640625" customWidth="1"/>
    <col min="26" max="26" width="11.77734375" customWidth="1"/>
    <col min="27" max="27" width="8.77734375" customWidth="1"/>
    <col min="28" max="28" width="9.77734375" customWidth="1"/>
    <col min="29" max="29" width="11.33203125" customWidth="1"/>
    <col min="30" max="30" width="12.44140625" customWidth="1"/>
    <col min="32" max="32" width="6.21875" bestFit="1" customWidth="1"/>
    <col min="33" max="33" width="14.77734375" bestFit="1" customWidth="1"/>
  </cols>
  <sheetData>
    <row r="1" spans="1:33" ht="43.2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V1" s="20" t="s">
        <v>28</v>
      </c>
      <c r="W1" s="20" t="s">
        <v>29</v>
      </c>
      <c r="X1" s="20" t="s">
        <v>30</v>
      </c>
      <c r="Y1" s="20" t="s">
        <v>31</v>
      </c>
      <c r="Z1" s="20" t="s">
        <v>32</v>
      </c>
      <c r="AA1" s="20" t="s">
        <v>33</v>
      </c>
      <c r="AB1" s="20" t="s">
        <v>34</v>
      </c>
      <c r="AC1" s="20" t="s">
        <v>47</v>
      </c>
      <c r="AD1" s="20" t="s">
        <v>35</v>
      </c>
      <c r="AF1" s="21" t="s">
        <v>36</v>
      </c>
      <c r="AG1" s="21" t="s">
        <v>38</v>
      </c>
    </row>
    <row r="2" spans="1:33" x14ac:dyDescent="0.3">
      <c r="A2" s="2">
        <v>202212</v>
      </c>
      <c r="B2" s="3">
        <v>44926.625</v>
      </c>
      <c r="C2" s="3">
        <v>54</v>
      </c>
      <c r="D2" s="3">
        <v>73</v>
      </c>
      <c r="E2" s="3">
        <v>56</v>
      </c>
      <c r="F2" s="3">
        <v>24</v>
      </c>
      <c r="G2" s="3">
        <v>23</v>
      </c>
      <c r="H2" s="3">
        <v>24</v>
      </c>
      <c r="I2" s="3">
        <v>73</v>
      </c>
      <c r="J2" s="3" t="s">
        <v>19</v>
      </c>
      <c r="K2" s="3" t="s">
        <v>20</v>
      </c>
      <c r="L2" s="3" t="s">
        <v>21</v>
      </c>
      <c r="N2" s="1">
        <f t="shared" ref="N2:S2" si="0">(C2-MIN(C$2:C$99))/(MAX(C$2:C$99)-MIN(C$2:C$99))</f>
        <v>0.46551724137931033</v>
      </c>
      <c r="O2" s="1">
        <f t="shared" si="0"/>
        <v>0.2857142857142857</v>
      </c>
      <c r="P2" s="1">
        <f t="shared" si="0"/>
        <v>0.91666666666666663</v>
      </c>
      <c r="Q2" s="1">
        <f t="shared" si="0"/>
        <v>0.78947368421052633</v>
      </c>
      <c r="R2" s="1">
        <f t="shared" si="0"/>
        <v>3.6585365853658534E-2</v>
      </c>
      <c r="S2" s="1">
        <f t="shared" si="0"/>
        <v>0.34375</v>
      </c>
      <c r="T2" s="1">
        <f>SUM(N2:S2)</f>
        <v>2.8377072438244473</v>
      </c>
      <c r="V2" s="4">
        <f>Sheet1!AB2^2</f>
        <v>0.31005271009378288</v>
      </c>
      <c r="W2" s="5">
        <f>Sheet1!AC2^2</f>
        <v>0.19640517142854994</v>
      </c>
      <c r="X2" s="5">
        <f>V2 * C2</f>
        <v>16.742846345064276</v>
      </c>
      <c r="Y2">
        <f>W2 * N2</f>
        <v>9.14299935960491E-2</v>
      </c>
      <c r="Z2" s="5">
        <f>(N2-N$102)^2 + (O2-O$102)^2 + (P2-P$102)^2 + (Q2-Q$102)^2 + (R2-R$102)^2 + (S2-S$102)^2</f>
        <v>0.39387293403023682</v>
      </c>
      <c r="AA2" s="5">
        <f>(N2-N$103)^2 + (O2-O$103)^2 + (P2-P$103)^2 + (Q2-Q$103)^2 + (R2-R$103)^2 + (S2-S$103)^2</f>
        <v>1.8813879824159931</v>
      </c>
      <c r="AB2" s="5">
        <f>(1/Z2) / ((1/Z2) + (1/AA2))</f>
        <v>0.82688889384808051</v>
      </c>
      <c r="AC2" s="5">
        <f>1 - AB2</f>
        <v>0.17311110615191949</v>
      </c>
      <c r="AD2" s="5">
        <f>ABS(AB2 - N2)</f>
        <v>0.36137165246877018</v>
      </c>
      <c r="AF2" s="12">
        <f>IF(AB3 &gt; AC3, 1, 2)</f>
        <v>1</v>
      </c>
      <c r="AG2" s="12">
        <f>IF(OR(AND(AF3=1, K3="SEDANG"), AND(AF3=2, K3="TIDAK SEHAT")), 1, 0)</f>
        <v>1</v>
      </c>
    </row>
    <row r="3" spans="1:33" x14ac:dyDescent="0.3">
      <c r="A3" s="2">
        <v>202212</v>
      </c>
      <c r="B3" s="6">
        <v>44925</v>
      </c>
      <c r="C3" s="3">
        <v>40</v>
      </c>
      <c r="D3" s="3">
        <v>64</v>
      </c>
      <c r="E3" s="3">
        <v>57</v>
      </c>
      <c r="F3" s="3">
        <v>21</v>
      </c>
      <c r="G3" s="3">
        <v>17</v>
      </c>
      <c r="H3" s="3">
        <v>24</v>
      </c>
      <c r="I3" s="3">
        <v>64</v>
      </c>
      <c r="J3" s="3" t="s">
        <v>19</v>
      </c>
      <c r="K3" s="3" t="s">
        <v>20</v>
      </c>
      <c r="L3" s="3" t="s">
        <v>21</v>
      </c>
      <c r="N3" s="1">
        <f t="shared" ref="N3:N66" si="1">(C3-MIN(C$2:C$99))/(MAX(C$2:C$99)-MIN(C$2:C$99))</f>
        <v>0.22413793103448276</v>
      </c>
      <c r="O3" s="1">
        <f t="shared" ref="O3:O66" si="2">(D3-MIN(D$2:D$99))/(MAX(D$2:D$99)-MIN(D$2:D$99))</f>
        <v>0.2</v>
      </c>
      <c r="P3" s="1">
        <f t="shared" ref="P3:P66" si="3">(E3-MIN(E$2:E$99))/(MAX(E$2:E$99)-MIN(E$2:E$99))</f>
        <v>1</v>
      </c>
      <c r="Q3" s="1">
        <f t="shared" ref="Q3:Q66" si="4">(F3-MIN(F$2:F$99))/(MAX(F$2:F$99)-MIN(F$2:F$99))</f>
        <v>0.63157894736842102</v>
      </c>
      <c r="R3" s="1">
        <f t="shared" ref="R3:R66" si="5">(G3-MIN(G$2:G$99))/(MAX(G$2:G$99)-MIN(G$2:G$99))</f>
        <v>0</v>
      </c>
      <c r="S3" s="1">
        <f t="shared" ref="S3:S66" si="6">(H3-MIN(H$2:H$99))/(MAX(H$2:H$99)-MIN(H$2:H$99))</f>
        <v>0.34375</v>
      </c>
      <c r="T3" s="1">
        <f t="shared" ref="T3:T66" si="7">SUM(N3:S3)</f>
        <v>2.3994668784029036</v>
      </c>
      <c r="V3" s="4">
        <f>Sheet1!AB3^2</f>
        <v>0.31072358086893681</v>
      </c>
      <c r="W3" s="5">
        <f>Sheet1!AC3^2</f>
        <v>0.19587187616747867</v>
      </c>
      <c r="X3" s="5">
        <f t="shared" ref="X3:X66" si="8">V3 * C3</f>
        <v>12.428943234757472</v>
      </c>
      <c r="Y3">
        <f t="shared" ref="Y3:Y66" si="9">W3 * N3</f>
        <v>4.390231707202108E-2</v>
      </c>
      <c r="Z3" s="5">
        <f t="shared" ref="Z3:Z66" si="10">(N3-N$102)^2 + (O3-O$102)^2 + (P3-P$102)^2 + (Q3-Q$102)^2 + (R3-R$102)^2 + (S3-S$102)^2</f>
        <v>0.55702828311257513</v>
      </c>
      <c r="AA3" s="5">
        <f t="shared" ref="AA3:AA66" si="11">(N3-N$103)^2 + (O3-O$103)^2 + (P3-P$103)^2 + (Q3-Q$103)^2 + (R3-R$103)^2 + (S3-S$103)^2</f>
        <v>1.6072938413874214</v>
      </c>
      <c r="AB3" s="5">
        <f t="shared" ref="AB3:AB66" si="12">(1/Z3) / ((1/Z3) + (1/AA3))</f>
        <v>0.74263152568323887</v>
      </c>
      <c r="AC3" s="5">
        <f t="shared" ref="AC3:AC66" si="13">1 - AB3</f>
        <v>0.25736847431676113</v>
      </c>
      <c r="AD3" s="5">
        <f t="shared" ref="AD3:AD66" si="14">ABS(AB3 - N3)</f>
        <v>0.51849359464875611</v>
      </c>
      <c r="AF3" s="12">
        <f t="shared" ref="AF3:AF65" si="15">IF(AB4 &gt; AC4, 1, 2)</f>
        <v>1</v>
      </c>
      <c r="AG3" s="12">
        <f t="shared" ref="AG3:AG65" si="16">IF(OR(AND(AF4=1, K4="SEDANG"), AND(AF4=2, K4="TIDAK SEHAT")), 1, 0)</f>
        <v>0</v>
      </c>
    </row>
    <row r="4" spans="1:33" ht="27.6" x14ac:dyDescent="0.3">
      <c r="A4" s="2">
        <v>202207</v>
      </c>
      <c r="B4" s="6">
        <v>44748</v>
      </c>
      <c r="C4" s="3">
        <v>75</v>
      </c>
      <c r="D4" s="3">
        <v>129</v>
      </c>
      <c r="E4" s="3">
        <v>45</v>
      </c>
      <c r="F4" s="3">
        <v>25</v>
      </c>
      <c r="G4" s="3">
        <v>71</v>
      </c>
      <c r="H4" s="3">
        <v>26</v>
      </c>
      <c r="I4" s="3">
        <v>129</v>
      </c>
      <c r="J4" s="3" t="s">
        <v>19</v>
      </c>
      <c r="K4" s="3" t="s">
        <v>22</v>
      </c>
      <c r="L4" s="3" t="s">
        <v>21</v>
      </c>
      <c r="N4" s="1">
        <f t="shared" si="1"/>
        <v>0.82758620689655171</v>
      </c>
      <c r="O4" s="1">
        <f t="shared" si="2"/>
        <v>0.81904761904761902</v>
      </c>
      <c r="P4" s="1">
        <f t="shared" si="3"/>
        <v>0</v>
      </c>
      <c r="Q4" s="1">
        <f t="shared" si="4"/>
        <v>0.84210526315789469</v>
      </c>
      <c r="R4" s="1">
        <f t="shared" si="5"/>
        <v>0.32926829268292684</v>
      </c>
      <c r="S4" s="1">
        <f t="shared" si="6"/>
        <v>0.40625</v>
      </c>
      <c r="T4" s="1">
        <f t="shared" si="7"/>
        <v>3.2242573817849922</v>
      </c>
      <c r="V4" s="4">
        <f>Sheet1!AB4^2</f>
        <v>0.20076349965798135</v>
      </c>
      <c r="W4" s="5">
        <f>Sheet1!AC4^2</f>
        <v>0.30463069776312529</v>
      </c>
      <c r="X4" s="5">
        <f t="shared" si="8"/>
        <v>15.057262474348601</v>
      </c>
      <c r="Y4">
        <f t="shared" si="9"/>
        <v>0.25210816366603472</v>
      </c>
      <c r="Z4" s="5">
        <f t="shared" si="10"/>
        <v>0.63491723956696389</v>
      </c>
      <c r="AA4" s="5">
        <f t="shared" si="11"/>
        <v>2.3383358774175522</v>
      </c>
      <c r="AB4" s="5">
        <f t="shared" si="12"/>
        <v>0.78645705071659056</v>
      </c>
      <c r="AC4" s="5">
        <f t="shared" si="13"/>
        <v>0.21354294928340944</v>
      </c>
      <c r="AD4" s="5">
        <f t="shared" si="14"/>
        <v>4.1129156179961157E-2</v>
      </c>
      <c r="AF4" s="12">
        <f t="shared" si="15"/>
        <v>1</v>
      </c>
      <c r="AG4" s="12">
        <f t="shared" si="16"/>
        <v>1</v>
      </c>
    </row>
    <row r="5" spans="1:33" ht="27.6" x14ac:dyDescent="0.3">
      <c r="A5" s="2">
        <v>202207</v>
      </c>
      <c r="B5" s="6">
        <v>44747</v>
      </c>
      <c r="C5" s="3">
        <v>66</v>
      </c>
      <c r="D5" s="3">
        <v>110</v>
      </c>
      <c r="E5" s="3">
        <v>47</v>
      </c>
      <c r="F5" s="3">
        <v>16</v>
      </c>
      <c r="G5" s="3">
        <v>61</v>
      </c>
      <c r="H5" s="3">
        <v>23</v>
      </c>
      <c r="I5" s="3">
        <v>110</v>
      </c>
      <c r="J5" s="3" t="s">
        <v>19</v>
      </c>
      <c r="K5" s="3" t="s">
        <v>22</v>
      </c>
      <c r="L5" s="3" t="s">
        <v>21</v>
      </c>
      <c r="N5" s="1">
        <f t="shared" si="1"/>
        <v>0.67241379310344829</v>
      </c>
      <c r="O5" s="1">
        <f t="shared" si="2"/>
        <v>0.63809523809523805</v>
      </c>
      <c r="P5" s="1">
        <f t="shared" si="3"/>
        <v>0.16666666666666666</v>
      </c>
      <c r="Q5" s="1">
        <f t="shared" si="4"/>
        <v>0.36842105263157893</v>
      </c>
      <c r="R5" s="1">
        <f t="shared" si="5"/>
        <v>0.26829268292682928</v>
      </c>
      <c r="S5" s="1">
        <f t="shared" si="6"/>
        <v>0.3125</v>
      </c>
      <c r="T5" s="1">
        <f t="shared" si="7"/>
        <v>2.4263894334237612</v>
      </c>
      <c r="V5" s="4">
        <f>Sheet1!AB5^2</f>
        <v>0.12054973045901621</v>
      </c>
      <c r="W5" s="5">
        <f>Sheet1!AC5^2</f>
        <v>0.42614428560992468</v>
      </c>
      <c r="X5" s="5">
        <f t="shared" si="8"/>
        <v>7.9562822102950701</v>
      </c>
      <c r="Y5">
        <f t="shared" si="9"/>
        <v>0.28654529549632868</v>
      </c>
      <c r="Z5" s="5">
        <f t="shared" si="10"/>
        <v>0.2662954935819023</v>
      </c>
      <c r="AA5" s="5">
        <f t="shared" si="11"/>
        <v>1.1924549055475999</v>
      </c>
      <c r="AB5" s="5">
        <f t="shared" si="12"/>
        <v>0.81744958305354221</v>
      </c>
      <c r="AC5" s="5">
        <f t="shared" si="13"/>
        <v>0.18255041694645779</v>
      </c>
      <c r="AD5" s="5">
        <f t="shared" si="14"/>
        <v>0.14503578995009392</v>
      </c>
      <c r="AF5" s="12">
        <f t="shared" si="15"/>
        <v>2</v>
      </c>
      <c r="AG5" s="12">
        <f t="shared" si="16"/>
        <v>1</v>
      </c>
    </row>
    <row r="6" spans="1:33" x14ac:dyDescent="0.3">
      <c r="A6" s="2">
        <v>202207</v>
      </c>
      <c r="B6" s="6">
        <v>44746</v>
      </c>
      <c r="C6" s="3">
        <v>56</v>
      </c>
      <c r="D6" s="3">
        <v>78</v>
      </c>
      <c r="E6" s="3">
        <v>49</v>
      </c>
      <c r="F6" s="3">
        <v>11</v>
      </c>
      <c r="G6" s="3">
        <v>60</v>
      </c>
      <c r="H6" s="3">
        <v>13</v>
      </c>
      <c r="I6" s="3">
        <v>78</v>
      </c>
      <c r="J6" s="3" t="s">
        <v>19</v>
      </c>
      <c r="K6" s="3" t="s">
        <v>20</v>
      </c>
      <c r="L6" s="3" t="s">
        <v>21</v>
      </c>
      <c r="N6" s="1">
        <f t="shared" si="1"/>
        <v>0.5</v>
      </c>
      <c r="O6" s="1">
        <f t="shared" si="2"/>
        <v>0.33333333333333331</v>
      </c>
      <c r="P6" s="1">
        <f t="shared" si="3"/>
        <v>0.33333333333333331</v>
      </c>
      <c r="Q6" s="1">
        <f t="shared" si="4"/>
        <v>0.10526315789473684</v>
      </c>
      <c r="R6" s="1">
        <f t="shared" si="5"/>
        <v>0.26219512195121952</v>
      </c>
      <c r="S6" s="1">
        <f t="shared" si="6"/>
        <v>0</v>
      </c>
      <c r="T6" s="1">
        <f t="shared" si="7"/>
        <v>1.5341249465126228</v>
      </c>
      <c r="V6" s="4">
        <f>Sheet1!AB6^2</f>
        <v>0.18997850467083935</v>
      </c>
      <c r="W6" s="5">
        <f>Sheet1!AC6^2</f>
        <v>0.31824803102467991</v>
      </c>
      <c r="X6" s="5">
        <f t="shared" si="8"/>
        <v>10.638796261567004</v>
      </c>
      <c r="Y6">
        <f t="shared" si="9"/>
        <v>0.15912401551233996</v>
      </c>
      <c r="Z6" s="5">
        <f t="shared" si="10"/>
        <v>0.56570796038541882</v>
      </c>
      <c r="AA6" s="5">
        <f t="shared" si="11"/>
        <v>0.55204883660720938</v>
      </c>
      <c r="AB6" s="5">
        <f t="shared" si="12"/>
        <v>0.49388993928958436</v>
      </c>
      <c r="AC6" s="5">
        <f t="shared" si="13"/>
        <v>0.50611006071041564</v>
      </c>
      <c r="AD6" s="5">
        <f t="shared" si="14"/>
        <v>6.1100607104156435E-3</v>
      </c>
      <c r="AF6" s="12">
        <f t="shared" si="15"/>
        <v>1</v>
      </c>
      <c r="AG6" s="12">
        <f t="shared" si="16"/>
        <v>0</v>
      </c>
    </row>
    <row r="7" spans="1:33" ht="27.6" x14ac:dyDescent="0.3">
      <c r="A7" s="2">
        <v>202207</v>
      </c>
      <c r="B7" s="6">
        <v>44745</v>
      </c>
      <c r="C7" s="3">
        <v>78</v>
      </c>
      <c r="D7" s="3">
        <v>126</v>
      </c>
      <c r="E7" s="3">
        <v>48</v>
      </c>
      <c r="F7" s="3">
        <v>17</v>
      </c>
      <c r="G7" s="3">
        <v>126</v>
      </c>
      <c r="H7" s="3">
        <v>25</v>
      </c>
      <c r="I7" s="3">
        <v>126</v>
      </c>
      <c r="J7" s="3" t="s">
        <v>19</v>
      </c>
      <c r="K7" s="3" t="s">
        <v>22</v>
      </c>
      <c r="L7" s="3" t="s">
        <v>23</v>
      </c>
      <c r="N7" s="1">
        <f t="shared" si="1"/>
        <v>0.87931034482758619</v>
      </c>
      <c r="O7" s="1">
        <f t="shared" si="2"/>
        <v>0.79047619047619044</v>
      </c>
      <c r="P7" s="1">
        <f t="shared" si="3"/>
        <v>0.25</v>
      </c>
      <c r="Q7" s="1">
        <f t="shared" si="4"/>
        <v>0.42105263157894735</v>
      </c>
      <c r="R7" s="1">
        <f t="shared" si="5"/>
        <v>0.66463414634146345</v>
      </c>
      <c r="S7" s="1">
        <f t="shared" si="6"/>
        <v>0.375</v>
      </c>
      <c r="T7" s="1">
        <f t="shared" si="7"/>
        <v>3.3804733132241873</v>
      </c>
      <c r="V7" s="4">
        <f>Sheet1!AB7^2</f>
        <v>0.14328608152459346</v>
      </c>
      <c r="W7" s="5">
        <f>Sheet1!AC7^2</f>
        <v>0.38622312106597095</v>
      </c>
      <c r="X7" s="5">
        <f t="shared" si="8"/>
        <v>11.17631435891829</v>
      </c>
      <c r="Y7">
        <f t="shared" si="9"/>
        <v>0.33960998576490548</v>
      </c>
      <c r="Z7" s="5">
        <f t="shared" si="10"/>
        <v>0.584931887604076</v>
      </c>
      <c r="AA7" s="5">
        <f t="shared" si="11"/>
        <v>2.2201881572731619</v>
      </c>
      <c r="AB7" s="5">
        <f t="shared" si="12"/>
        <v>0.79147705686525271</v>
      </c>
      <c r="AC7" s="5">
        <f t="shared" si="13"/>
        <v>0.20852294313474729</v>
      </c>
      <c r="AD7" s="5">
        <f t="shared" si="14"/>
        <v>8.7833287962333473E-2</v>
      </c>
      <c r="AF7" s="12">
        <f t="shared" si="15"/>
        <v>1</v>
      </c>
      <c r="AG7" s="12">
        <f t="shared" si="16"/>
        <v>0</v>
      </c>
    </row>
    <row r="8" spans="1:33" ht="27.6" x14ac:dyDescent="0.3">
      <c r="A8" s="2">
        <v>202207</v>
      </c>
      <c r="B8" s="6">
        <v>44744</v>
      </c>
      <c r="C8" s="3">
        <v>81</v>
      </c>
      <c r="D8" s="3">
        <v>137</v>
      </c>
      <c r="E8" s="3">
        <v>47</v>
      </c>
      <c r="F8" s="3">
        <v>18</v>
      </c>
      <c r="G8" s="3">
        <v>106</v>
      </c>
      <c r="H8" s="3">
        <v>29</v>
      </c>
      <c r="I8" s="3">
        <v>137</v>
      </c>
      <c r="J8" s="3" t="s">
        <v>19</v>
      </c>
      <c r="K8" s="3" t="s">
        <v>22</v>
      </c>
      <c r="L8" s="3" t="s">
        <v>21</v>
      </c>
      <c r="N8" s="1">
        <f t="shared" si="1"/>
        <v>0.93103448275862066</v>
      </c>
      <c r="O8" s="1">
        <f t="shared" si="2"/>
        <v>0.89523809523809528</v>
      </c>
      <c r="P8" s="1">
        <f t="shared" si="3"/>
        <v>0.16666666666666666</v>
      </c>
      <c r="Q8" s="1">
        <f t="shared" si="4"/>
        <v>0.47368421052631576</v>
      </c>
      <c r="R8" s="1">
        <f t="shared" si="5"/>
        <v>0.54268292682926833</v>
      </c>
      <c r="S8" s="1">
        <f t="shared" si="6"/>
        <v>0.5</v>
      </c>
      <c r="T8" s="1">
        <f t="shared" si="7"/>
        <v>3.5093063820189672</v>
      </c>
      <c r="V8" s="4">
        <f>Sheet1!AB8^2</f>
        <v>0.16578726661000009</v>
      </c>
      <c r="W8" s="5">
        <f>Sheet1!AC8^2</f>
        <v>0.35144761607098796</v>
      </c>
      <c r="X8" s="5">
        <f t="shared" si="8"/>
        <v>13.428768595410007</v>
      </c>
      <c r="Y8">
        <f t="shared" si="9"/>
        <v>0.32720984944540255</v>
      </c>
      <c r="Z8" s="5">
        <f t="shared" si="10"/>
        <v>0.59893359206478991</v>
      </c>
      <c r="AA8" s="5">
        <f t="shared" si="11"/>
        <v>2.4649357234028431</v>
      </c>
      <c r="AB8" s="5">
        <f t="shared" si="12"/>
        <v>0.80451725240331418</v>
      </c>
      <c r="AC8" s="5">
        <f t="shared" si="13"/>
        <v>0.19548274759668582</v>
      </c>
      <c r="AD8" s="5">
        <f t="shared" si="14"/>
        <v>0.12651723035530649</v>
      </c>
      <c r="AF8" s="12">
        <f t="shared" si="15"/>
        <v>1</v>
      </c>
      <c r="AG8" s="12">
        <f t="shared" si="16"/>
        <v>0</v>
      </c>
    </row>
    <row r="9" spans="1:33" ht="27.6" x14ac:dyDescent="0.3">
      <c r="A9" s="2">
        <v>202208</v>
      </c>
      <c r="B9" s="6">
        <v>44774</v>
      </c>
      <c r="C9" s="3">
        <v>68</v>
      </c>
      <c r="D9" s="3">
        <v>109</v>
      </c>
      <c r="E9" s="3">
        <v>50</v>
      </c>
      <c r="F9" s="3">
        <v>12</v>
      </c>
      <c r="G9" s="3">
        <v>91</v>
      </c>
      <c r="H9" s="3">
        <v>19</v>
      </c>
      <c r="I9" s="3">
        <v>109</v>
      </c>
      <c r="J9" s="3" t="s">
        <v>19</v>
      </c>
      <c r="K9" s="3" t="s">
        <v>22</v>
      </c>
      <c r="L9" s="3" t="s">
        <v>21</v>
      </c>
      <c r="N9" s="1">
        <f t="shared" si="1"/>
        <v>0.7068965517241379</v>
      </c>
      <c r="O9" s="1">
        <f t="shared" si="2"/>
        <v>0.62857142857142856</v>
      </c>
      <c r="P9" s="1">
        <f t="shared" si="3"/>
        <v>0.41666666666666669</v>
      </c>
      <c r="Q9" s="1">
        <f t="shared" si="4"/>
        <v>0.15789473684210525</v>
      </c>
      <c r="R9" s="1">
        <f t="shared" si="5"/>
        <v>0.45121951219512196</v>
      </c>
      <c r="S9" s="1">
        <f t="shared" si="6"/>
        <v>0.1875</v>
      </c>
      <c r="T9" s="1">
        <f t="shared" si="7"/>
        <v>2.5487488959994606</v>
      </c>
      <c r="V9" s="4">
        <f>Sheet1!AB9^2</f>
        <v>0.12317009876066411</v>
      </c>
      <c r="W9" s="5">
        <f>Sheet1!AC9^2</f>
        <v>0.42125814200066097</v>
      </c>
      <c r="X9" s="5">
        <f t="shared" si="8"/>
        <v>8.3755667157251601</v>
      </c>
      <c r="Y9">
        <f t="shared" si="9"/>
        <v>0.29778592796598446</v>
      </c>
      <c r="Z9" s="5">
        <f t="shared" si="10"/>
        <v>0.43377933187528822</v>
      </c>
      <c r="AA9" s="5">
        <f t="shared" si="11"/>
        <v>1.3321019328749559</v>
      </c>
      <c r="AB9" s="5">
        <f t="shared" si="12"/>
        <v>0.75435532358024115</v>
      </c>
      <c r="AC9" s="5">
        <f t="shared" si="13"/>
        <v>0.24564467641975885</v>
      </c>
      <c r="AD9" s="5">
        <f t="shared" si="14"/>
        <v>4.7458771856103255E-2</v>
      </c>
      <c r="AF9" s="12">
        <f t="shared" si="15"/>
        <v>1</v>
      </c>
      <c r="AG9" s="12">
        <f t="shared" si="16"/>
        <v>0</v>
      </c>
    </row>
    <row r="10" spans="1:33" ht="27.6" x14ac:dyDescent="0.3">
      <c r="A10" s="2">
        <v>202208</v>
      </c>
      <c r="B10" s="6">
        <v>44804</v>
      </c>
      <c r="C10" s="3">
        <v>85</v>
      </c>
      <c r="D10" s="3">
        <v>148</v>
      </c>
      <c r="E10" s="3">
        <v>51</v>
      </c>
      <c r="F10" s="3">
        <v>25</v>
      </c>
      <c r="G10" s="3">
        <v>74</v>
      </c>
      <c r="H10" s="3">
        <v>37</v>
      </c>
      <c r="I10" s="3">
        <v>148</v>
      </c>
      <c r="J10" s="3" t="s">
        <v>19</v>
      </c>
      <c r="K10" s="3" t="s">
        <v>22</v>
      </c>
      <c r="L10" s="3" t="s">
        <v>21</v>
      </c>
      <c r="N10" s="1">
        <f t="shared" si="1"/>
        <v>1</v>
      </c>
      <c r="O10" s="1">
        <f t="shared" si="2"/>
        <v>1</v>
      </c>
      <c r="P10" s="1">
        <f t="shared" si="3"/>
        <v>0.5</v>
      </c>
      <c r="Q10" s="1">
        <f t="shared" si="4"/>
        <v>0.84210526315789469</v>
      </c>
      <c r="R10" s="1">
        <f t="shared" si="5"/>
        <v>0.34756097560975607</v>
      </c>
      <c r="S10" s="1">
        <f t="shared" si="6"/>
        <v>0.75</v>
      </c>
      <c r="T10" s="1">
        <f t="shared" si="7"/>
        <v>4.4396662387676509</v>
      </c>
      <c r="V10" s="4">
        <f>Sheet1!AB10^2</f>
        <v>0.23245121842851035</v>
      </c>
      <c r="W10" s="5">
        <f>Sheet1!AC10^2</f>
        <v>0.26818731590283695</v>
      </c>
      <c r="X10" s="5">
        <f t="shared" si="8"/>
        <v>19.758353566423381</v>
      </c>
      <c r="Y10">
        <f t="shared" si="9"/>
        <v>0.26818731590283695</v>
      </c>
      <c r="Z10" s="5">
        <f t="shared" si="10"/>
        <v>0.68518416194930809</v>
      </c>
      <c r="AA10" s="5">
        <f t="shared" si="11"/>
        <v>3.6424399060050323</v>
      </c>
      <c r="AB10" s="5">
        <f t="shared" si="12"/>
        <v>0.84167197723502973</v>
      </c>
      <c r="AC10" s="5">
        <f t="shared" si="13"/>
        <v>0.15832802276497027</v>
      </c>
      <c r="AD10" s="5">
        <f t="shared" si="14"/>
        <v>0.15832802276497027</v>
      </c>
      <c r="AF10" s="12">
        <f t="shared" si="15"/>
        <v>1</v>
      </c>
      <c r="AG10" s="12">
        <f t="shared" si="16"/>
        <v>1</v>
      </c>
    </row>
    <row r="11" spans="1:33" x14ac:dyDescent="0.3">
      <c r="A11" s="2">
        <v>202208</v>
      </c>
      <c r="B11" s="6">
        <v>44803</v>
      </c>
      <c r="C11" s="3">
        <v>59</v>
      </c>
      <c r="D11" s="3">
        <v>84</v>
      </c>
      <c r="E11" s="3">
        <v>50</v>
      </c>
      <c r="F11" s="3">
        <v>15</v>
      </c>
      <c r="G11" s="3">
        <v>56</v>
      </c>
      <c r="H11" s="3">
        <v>29</v>
      </c>
      <c r="I11" s="3">
        <v>84</v>
      </c>
      <c r="J11" s="3" t="s">
        <v>19</v>
      </c>
      <c r="K11" s="3" t="s">
        <v>20</v>
      </c>
      <c r="L11" s="3" t="s">
        <v>21</v>
      </c>
      <c r="N11" s="1">
        <f t="shared" si="1"/>
        <v>0.55172413793103448</v>
      </c>
      <c r="O11" s="1">
        <f t="shared" si="2"/>
        <v>0.39047619047619048</v>
      </c>
      <c r="P11" s="1">
        <f t="shared" si="3"/>
        <v>0.41666666666666669</v>
      </c>
      <c r="Q11" s="1">
        <f t="shared" si="4"/>
        <v>0.31578947368421051</v>
      </c>
      <c r="R11" s="1">
        <f t="shared" si="5"/>
        <v>0.23780487804878048</v>
      </c>
      <c r="S11" s="1">
        <f t="shared" si="6"/>
        <v>0.5</v>
      </c>
      <c r="T11" s="1">
        <f t="shared" si="7"/>
        <v>2.4124613468068827</v>
      </c>
      <c r="V11" s="4">
        <f>Sheet1!AB11^2</f>
        <v>0.31290149690238139</v>
      </c>
      <c r="W11" s="5">
        <f>Sheet1!AC11^2</f>
        <v>0.19414951920154819</v>
      </c>
      <c r="X11" s="5">
        <f t="shared" si="8"/>
        <v>18.461188317240502</v>
      </c>
      <c r="Y11">
        <f t="shared" si="9"/>
        <v>0.107116976111199</v>
      </c>
      <c r="Z11" s="5">
        <f t="shared" si="10"/>
        <v>5.4626965199673742E-2</v>
      </c>
      <c r="AA11" s="5">
        <f t="shared" si="11"/>
        <v>1.0367564425291984</v>
      </c>
      <c r="AB11" s="5">
        <f t="shared" si="12"/>
        <v>0.94994704444577327</v>
      </c>
      <c r="AC11" s="5">
        <f t="shared" si="13"/>
        <v>5.005295555422673E-2</v>
      </c>
      <c r="AD11" s="5">
        <f t="shared" si="14"/>
        <v>0.39822290651473879</v>
      </c>
      <c r="AF11" s="12">
        <f t="shared" si="15"/>
        <v>1</v>
      </c>
      <c r="AG11" s="12">
        <f t="shared" si="16"/>
        <v>1</v>
      </c>
    </row>
    <row r="12" spans="1:33" x14ac:dyDescent="0.3">
      <c r="A12" s="2">
        <v>202208</v>
      </c>
      <c r="B12" s="6">
        <v>44802</v>
      </c>
      <c r="C12" s="3">
        <v>58</v>
      </c>
      <c r="D12" s="3">
        <v>82</v>
      </c>
      <c r="E12" s="3">
        <v>49</v>
      </c>
      <c r="F12" s="3">
        <v>16</v>
      </c>
      <c r="G12" s="3">
        <v>55</v>
      </c>
      <c r="H12" s="3">
        <v>29</v>
      </c>
      <c r="I12" s="3">
        <v>82</v>
      </c>
      <c r="J12" s="3" t="s">
        <v>19</v>
      </c>
      <c r="K12" s="3" t="s">
        <v>20</v>
      </c>
      <c r="L12" s="3" t="s">
        <v>21</v>
      </c>
      <c r="N12" s="1">
        <f t="shared" si="1"/>
        <v>0.53448275862068961</v>
      </c>
      <c r="O12" s="1">
        <f t="shared" si="2"/>
        <v>0.37142857142857144</v>
      </c>
      <c r="P12" s="1">
        <f t="shared" si="3"/>
        <v>0.33333333333333331</v>
      </c>
      <c r="Q12" s="1">
        <f t="shared" si="4"/>
        <v>0.36842105263157893</v>
      </c>
      <c r="R12" s="1">
        <f t="shared" si="5"/>
        <v>0.23170731707317074</v>
      </c>
      <c r="S12" s="1">
        <f t="shared" si="6"/>
        <v>0.5</v>
      </c>
      <c r="T12" s="1">
        <f t="shared" si="7"/>
        <v>2.3393730330873441</v>
      </c>
      <c r="V12" s="4">
        <f>Sheet1!AB12^2</f>
        <v>0.31672328864438426</v>
      </c>
      <c r="W12" s="5">
        <f>Sheet1!AC12^2</f>
        <v>0.19115980550470058</v>
      </c>
      <c r="X12" s="5">
        <f t="shared" si="8"/>
        <v>18.369950741374286</v>
      </c>
      <c r="Y12">
        <f t="shared" si="9"/>
        <v>0.10217162018354685</v>
      </c>
      <c r="Z12" s="5">
        <f t="shared" si="10"/>
        <v>5.7548171262244173E-2</v>
      </c>
      <c r="AA12" s="5">
        <f t="shared" si="11"/>
        <v>0.97416446685477054</v>
      </c>
      <c r="AB12" s="5">
        <f t="shared" si="12"/>
        <v>0.94422073634061932</v>
      </c>
      <c r="AC12" s="5">
        <f t="shared" si="13"/>
        <v>5.5779263659380685E-2</v>
      </c>
      <c r="AD12" s="5">
        <f t="shared" si="14"/>
        <v>0.4097379777199297</v>
      </c>
      <c r="AF12" s="12">
        <f t="shared" si="15"/>
        <v>1</v>
      </c>
      <c r="AG12" s="12">
        <f t="shared" si="16"/>
        <v>1</v>
      </c>
    </row>
    <row r="13" spans="1:33" x14ac:dyDescent="0.3">
      <c r="A13" s="2">
        <v>202208</v>
      </c>
      <c r="B13" s="6">
        <v>44801</v>
      </c>
      <c r="C13" s="3">
        <v>64</v>
      </c>
      <c r="D13" s="3">
        <v>85</v>
      </c>
      <c r="E13" s="3">
        <v>49</v>
      </c>
      <c r="F13" s="3">
        <v>17</v>
      </c>
      <c r="G13" s="3">
        <v>56</v>
      </c>
      <c r="H13" s="3">
        <v>30</v>
      </c>
      <c r="I13" s="3">
        <v>85</v>
      </c>
      <c r="J13" s="3" t="s">
        <v>19</v>
      </c>
      <c r="K13" s="3" t="s">
        <v>20</v>
      </c>
      <c r="L13" s="3" t="s">
        <v>24</v>
      </c>
      <c r="N13" s="1">
        <f t="shared" si="1"/>
        <v>0.63793103448275867</v>
      </c>
      <c r="O13" s="1">
        <f t="shared" si="2"/>
        <v>0.4</v>
      </c>
      <c r="P13" s="1">
        <f t="shared" si="3"/>
        <v>0.33333333333333331</v>
      </c>
      <c r="Q13" s="1">
        <f t="shared" si="4"/>
        <v>0.42105263157894735</v>
      </c>
      <c r="R13" s="1">
        <f t="shared" si="5"/>
        <v>0.23780487804878048</v>
      </c>
      <c r="S13" s="1">
        <f t="shared" si="6"/>
        <v>0.53125</v>
      </c>
      <c r="T13" s="1">
        <f t="shared" si="7"/>
        <v>2.5613718774438201</v>
      </c>
      <c r="V13" s="4">
        <f>Sheet1!AB13^2</f>
        <v>0.28103922555259314</v>
      </c>
      <c r="W13" s="5">
        <f>Sheet1!AC13^2</f>
        <v>0.22077656837260334</v>
      </c>
      <c r="X13" s="5">
        <f t="shared" si="8"/>
        <v>17.986510435365961</v>
      </c>
      <c r="Y13">
        <f t="shared" si="9"/>
        <v>0.14084022465148835</v>
      </c>
      <c r="Z13" s="5">
        <f t="shared" si="10"/>
        <v>4.3139763439345925E-2</v>
      </c>
      <c r="AA13" s="5">
        <f t="shared" si="11"/>
        <v>1.1941301569507061</v>
      </c>
      <c r="AB13" s="5">
        <f t="shared" si="12"/>
        <v>0.96513310254423224</v>
      </c>
      <c r="AC13" s="5">
        <f t="shared" si="13"/>
        <v>3.4866897455767765E-2</v>
      </c>
      <c r="AD13" s="5">
        <f t="shared" si="14"/>
        <v>0.32720206806147356</v>
      </c>
      <c r="AF13" s="12">
        <f t="shared" si="15"/>
        <v>1</v>
      </c>
      <c r="AG13" s="12">
        <f t="shared" si="16"/>
        <v>0</v>
      </c>
    </row>
    <row r="14" spans="1:33" ht="27.6" x14ac:dyDescent="0.3">
      <c r="A14" s="2">
        <v>202208</v>
      </c>
      <c r="B14" s="6">
        <v>44800</v>
      </c>
      <c r="C14" s="3">
        <v>80</v>
      </c>
      <c r="D14" s="3">
        <v>130</v>
      </c>
      <c r="E14" s="3">
        <v>50</v>
      </c>
      <c r="F14" s="3">
        <v>25</v>
      </c>
      <c r="G14" s="3">
        <v>57</v>
      </c>
      <c r="H14" s="3">
        <v>37</v>
      </c>
      <c r="I14" s="3">
        <v>130</v>
      </c>
      <c r="J14" s="3" t="s">
        <v>19</v>
      </c>
      <c r="K14" s="3" t="s">
        <v>22</v>
      </c>
      <c r="L14" s="3" t="s">
        <v>21</v>
      </c>
      <c r="N14" s="1">
        <f t="shared" si="1"/>
        <v>0.91379310344827591</v>
      </c>
      <c r="O14" s="1">
        <f t="shared" si="2"/>
        <v>0.82857142857142863</v>
      </c>
      <c r="P14" s="1">
        <f t="shared" si="3"/>
        <v>0.41666666666666669</v>
      </c>
      <c r="Q14" s="1">
        <f t="shared" si="4"/>
        <v>0.84210526315789469</v>
      </c>
      <c r="R14" s="1">
        <f t="shared" si="5"/>
        <v>0.24390243902439024</v>
      </c>
      <c r="S14" s="1">
        <f t="shared" si="6"/>
        <v>0.75</v>
      </c>
      <c r="T14" s="1">
        <f t="shared" si="7"/>
        <v>3.9950389008686562</v>
      </c>
      <c r="V14" s="4">
        <f>Sheet1!AB14^2</f>
        <v>0.24873269374489476</v>
      </c>
      <c r="W14" s="5">
        <f>Sheet1!AC14^2</f>
        <v>0.25127052655278564</v>
      </c>
      <c r="X14" s="5">
        <f t="shared" si="8"/>
        <v>19.898615499591582</v>
      </c>
      <c r="Y14">
        <f t="shared" si="9"/>
        <v>0.22960927426375241</v>
      </c>
      <c r="Z14" s="5">
        <f t="shared" si="10"/>
        <v>0.42887929607495728</v>
      </c>
      <c r="AA14" s="5">
        <f t="shared" si="11"/>
        <v>3.0262892332659144</v>
      </c>
      <c r="AB14" s="5">
        <f t="shared" si="12"/>
        <v>0.87587311807428014</v>
      </c>
      <c r="AC14" s="5">
        <f t="shared" si="13"/>
        <v>0.12412688192571986</v>
      </c>
      <c r="AD14" s="5">
        <f t="shared" si="14"/>
        <v>3.7919985373995768E-2</v>
      </c>
      <c r="AF14" s="12">
        <f t="shared" si="15"/>
        <v>1</v>
      </c>
      <c r="AG14" s="12">
        <f t="shared" si="16"/>
        <v>0</v>
      </c>
    </row>
    <row r="15" spans="1:33" ht="27.6" x14ac:dyDescent="0.3">
      <c r="A15" s="2">
        <v>202208</v>
      </c>
      <c r="B15" s="6">
        <v>44799</v>
      </c>
      <c r="C15" s="3">
        <v>76</v>
      </c>
      <c r="D15" s="3">
        <v>119</v>
      </c>
      <c r="E15" s="3">
        <v>53</v>
      </c>
      <c r="F15" s="3">
        <v>19</v>
      </c>
      <c r="G15" s="3">
        <v>53</v>
      </c>
      <c r="H15" s="3">
        <v>31</v>
      </c>
      <c r="I15" s="3">
        <v>119</v>
      </c>
      <c r="J15" s="3" t="s">
        <v>19</v>
      </c>
      <c r="K15" s="3" t="s">
        <v>22</v>
      </c>
      <c r="L15" s="3" t="s">
        <v>21</v>
      </c>
      <c r="N15" s="1">
        <f t="shared" si="1"/>
        <v>0.84482758620689657</v>
      </c>
      <c r="O15" s="1">
        <f t="shared" si="2"/>
        <v>0.72380952380952379</v>
      </c>
      <c r="P15" s="1">
        <f t="shared" si="3"/>
        <v>0.66666666666666663</v>
      </c>
      <c r="Q15" s="1">
        <f t="shared" si="4"/>
        <v>0.52631578947368418</v>
      </c>
      <c r="R15" s="1">
        <f t="shared" si="5"/>
        <v>0.21951219512195122</v>
      </c>
      <c r="S15" s="1">
        <f t="shared" si="6"/>
        <v>0.5625</v>
      </c>
      <c r="T15" s="1">
        <f t="shared" si="7"/>
        <v>3.5436317612787223</v>
      </c>
      <c r="V15" s="4">
        <f>Sheet1!AB15^2</f>
        <v>0.22851341246341467</v>
      </c>
      <c r="W15" s="5">
        <f>Sheet1!AC15^2</f>
        <v>0.27245188209329324</v>
      </c>
      <c r="X15" s="5">
        <f t="shared" si="8"/>
        <v>17.367019347219514</v>
      </c>
      <c r="Y15">
        <f t="shared" si="9"/>
        <v>0.2301748659064029</v>
      </c>
      <c r="Z15" s="5">
        <f t="shared" si="10"/>
        <v>0.20461171736648723</v>
      </c>
      <c r="AA15" s="5">
        <f t="shared" si="11"/>
        <v>2.3236784856745505</v>
      </c>
      <c r="AB15" s="5">
        <f t="shared" si="12"/>
        <v>0.91907111093482086</v>
      </c>
      <c r="AC15" s="5">
        <f t="shared" si="13"/>
        <v>8.0928889065179144E-2</v>
      </c>
      <c r="AD15" s="5">
        <f t="shared" si="14"/>
        <v>7.4243524727924282E-2</v>
      </c>
      <c r="AF15" s="12">
        <f t="shared" si="15"/>
        <v>1</v>
      </c>
      <c r="AG15" s="12">
        <f t="shared" si="16"/>
        <v>1</v>
      </c>
    </row>
    <row r="16" spans="1:33" x14ac:dyDescent="0.3">
      <c r="A16" s="2">
        <v>202208</v>
      </c>
      <c r="B16" s="6">
        <v>44798</v>
      </c>
      <c r="C16" s="3">
        <v>64</v>
      </c>
      <c r="D16" s="3">
        <v>98</v>
      </c>
      <c r="E16" s="3">
        <v>50</v>
      </c>
      <c r="F16" s="3">
        <v>12</v>
      </c>
      <c r="G16" s="3">
        <v>66</v>
      </c>
      <c r="H16" s="3">
        <v>19</v>
      </c>
      <c r="I16" s="3">
        <v>98</v>
      </c>
      <c r="J16" s="3" t="s">
        <v>19</v>
      </c>
      <c r="K16" s="3" t="s">
        <v>20</v>
      </c>
      <c r="L16" s="3" t="s">
        <v>21</v>
      </c>
      <c r="N16" s="1">
        <f t="shared" si="1"/>
        <v>0.63793103448275867</v>
      </c>
      <c r="O16" s="1">
        <f t="shared" si="2"/>
        <v>0.52380952380952384</v>
      </c>
      <c r="P16" s="1">
        <f t="shared" si="3"/>
        <v>0.41666666666666669</v>
      </c>
      <c r="Q16" s="1">
        <f t="shared" si="4"/>
        <v>0.15789473684210525</v>
      </c>
      <c r="R16" s="1">
        <f t="shared" si="5"/>
        <v>0.29878048780487804</v>
      </c>
      <c r="S16" s="1">
        <f t="shared" si="6"/>
        <v>0.1875</v>
      </c>
      <c r="T16" s="1">
        <f t="shared" si="7"/>
        <v>2.2225824496059325</v>
      </c>
      <c r="V16" s="4">
        <f>Sheet1!AB16^2</f>
        <v>0.13337116341090699</v>
      </c>
      <c r="W16" s="5">
        <f>Sheet1!AC16^2</f>
        <v>0.40297082548407659</v>
      </c>
      <c r="X16" s="5">
        <f t="shared" si="8"/>
        <v>8.5357544582980474</v>
      </c>
      <c r="Y16">
        <f t="shared" si="9"/>
        <v>0.2570675955674282</v>
      </c>
      <c r="Z16" s="5">
        <f t="shared" si="10"/>
        <v>0.32599722309601087</v>
      </c>
      <c r="AA16" s="5">
        <f t="shared" si="11"/>
        <v>1.0043003109162725</v>
      </c>
      <c r="AB16" s="5">
        <f t="shared" si="12"/>
        <v>0.75494412733910943</v>
      </c>
      <c r="AC16" s="5">
        <f t="shared" si="13"/>
        <v>0.24505587266089057</v>
      </c>
      <c r="AD16" s="5">
        <f t="shared" si="14"/>
        <v>0.11701309285635075</v>
      </c>
      <c r="AF16" s="12">
        <f t="shared" si="15"/>
        <v>1</v>
      </c>
      <c r="AG16" s="12">
        <f t="shared" si="16"/>
        <v>0</v>
      </c>
    </row>
    <row r="17" spans="1:33" ht="27.6" x14ac:dyDescent="0.3">
      <c r="A17" s="2">
        <v>202208</v>
      </c>
      <c r="B17" s="6">
        <v>44797</v>
      </c>
      <c r="C17" s="3">
        <v>71</v>
      </c>
      <c r="D17" s="3">
        <v>119</v>
      </c>
      <c r="E17" s="3">
        <v>50</v>
      </c>
      <c r="F17" s="3">
        <v>15</v>
      </c>
      <c r="G17" s="3">
        <v>82</v>
      </c>
      <c r="H17" s="3">
        <v>20</v>
      </c>
      <c r="I17" s="3">
        <v>119</v>
      </c>
      <c r="J17" s="3" t="s">
        <v>19</v>
      </c>
      <c r="K17" s="3" t="s">
        <v>22</v>
      </c>
      <c r="L17" s="3" t="s">
        <v>21</v>
      </c>
      <c r="N17" s="1">
        <f t="shared" si="1"/>
        <v>0.75862068965517238</v>
      </c>
      <c r="O17" s="1">
        <f t="shared" si="2"/>
        <v>0.72380952380952379</v>
      </c>
      <c r="P17" s="1">
        <f t="shared" si="3"/>
        <v>0.41666666666666669</v>
      </c>
      <c r="Q17" s="1">
        <f t="shared" si="4"/>
        <v>0.31578947368421051</v>
      </c>
      <c r="R17" s="1">
        <f t="shared" si="5"/>
        <v>0.39634146341463417</v>
      </c>
      <c r="S17" s="1">
        <f t="shared" si="6"/>
        <v>0.21875</v>
      </c>
      <c r="T17" s="1">
        <f t="shared" si="7"/>
        <v>2.8299778172302075</v>
      </c>
      <c r="V17" s="4">
        <f>Sheet1!AB17^2</f>
        <v>0.10510966670292354</v>
      </c>
      <c r="W17" s="5">
        <f>Sheet1!AC17^2</f>
        <v>0.45669724639336923</v>
      </c>
      <c r="X17" s="5">
        <f t="shared" si="8"/>
        <v>7.4627863359075715</v>
      </c>
      <c r="Y17">
        <f t="shared" si="9"/>
        <v>0.34645998002255596</v>
      </c>
      <c r="Z17" s="5">
        <f t="shared" si="10"/>
        <v>0.36285008326137569</v>
      </c>
      <c r="AA17" s="5">
        <f t="shared" si="11"/>
        <v>1.5776777984527746</v>
      </c>
      <c r="AB17" s="5">
        <f t="shared" si="12"/>
        <v>0.81301475403648682</v>
      </c>
      <c r="AC17" s="5">
        <f t="shared" si="13"/>
        <v>0.18698524596351318</v>
      </c>
      <c r="AD17" s="5">
        <f t="shared" si="14"/>
        <v>5.4394064381314444E-2</v>
      </c>
      <c r="AF17" s="12">
        <f t="shared" si="15"/>
        <v>1</v>
      </c>
      <c r="AG17" s="12">
        <f t="shared" si="16"/>
        <v>0</v>
      </c>
    </row>
    <row r="18" spans="1:33" ht="27.6" x14ac:dyDescent="0.3">
      <c r="A18" s="2">
        <v>202208</v>
      </c>
      <c r="B18" s="6">
        <v>44796</v>
      </c>
      <c r="C18" s="3">
        <v>76</v>
      </c>
      <c r="D18" s="3">
        <v>116</v>
      </c>
      <c r="E18" s="3">
        <v>49</v>
      </c>
      <c r="F18" s="3">
        <v>17</v>
      </c>
      <c r="G18" s="3">
        <v>81</v>
      </c>
      <c r="H18" s="3">
        <v>27</v>
      </c>
      <c r="I18" s="3">
        <v>116</v>
      </c>
      <c r="J18" s="3" t="s">
        <v>19</v>
      </c>
      <c r="K18" s="3" t="s">
        <v>22</v>
      </c>
      <c r="L18" s="3" t="s">
        <v>21</v>
      </c>
      <c r="N18" s="1">
        <f t="shared" si="1"/>
        <v>0.84482758620689657</v>
      </c>
      <c r="O18" s="1">
        <f t="shared" si="2"/>
        <v>0.69523809523809521</v>
      </c>
      <c r="P18" s="1">
        <f t="shared" si="3"/>
        <v>0.33333333333333331</v>
      </c>
      <c r="Q18" s="1">
        <f t="shared" si="4"/>
        <v>0.42105263157894735</v>
      </c>
      <c r="R18" s="1">
        <f t="shared" si="5"/>
        <v>0.3902439024390244</v>
      </c>
      <c r="S18" s="1">
        <f t="shared" si="6"/>
        <v>0.4375</v>
      </c>
      <c r="T18" s="1">
        <f t="shared" si="7"/>
        <v>3.1221955487962965</v>
      </c>
      <c r="V18" s="4">
        <f>Sheet1!AB18^2</f>
        <v>0.10217985592522157</v>
      </c>
      <c r="W18" s="5">
        <f>Sheet1!AC18^2</f>
        <v>0.462868176303391</v>
      </c>
      <c r="X18" s="5">
        <f t="shared" si="8"/>
        <v>7.7656690503168386</v>
      </c>
      <c r="Y18">
        <f t="shared" si="9"/>
        <v>0.39104380411838208</v>
      </c>
      <c r="Z18" s="5">
        <f t="shared" si="10"/>
        <v>0.25251247902055984</v>
      </c>
      <c r="AA18" s="5">
        <f t="shared" si="11"/>
        <v>1.8291826425479727</v>
      </c>
      <c r="AB18" s="5">
        <f t="shared" si="12"/>
        <v>0.87869862574770574</v>
      </c>
      <c r="AC18" s="5">
        <f t="shared" si="13"/>
        <v>0.12130137425229426</v>
      </c>
      <c r="AD18" s="5">
        <f t="shared" si="14"/>
        <v>3.3871039540809167E-2</v>
      </c>
      <c r="AF18" s="12">
        <f t="shared" si="15"/>
        <v>1</v>
      </c>
      <c r="AG18" s="12">
        <f t="shared" si="16"/>
        <v>1</v>
      </c>
    </row>
    <row r="19" spans="1:33" x14ac:dyDescent="0.3">
      <c r="A19" s="2">
        <v>202208</v>
      </c>
      <c r="B19" s="6">
        <v>44795</v>
      </c>
      <c r="C19" s="3">
        <v>57</v>
      </c>
      <c r="D19" s="3">
        <v>78</v>
      </c>
      <c r="E19" s="3">
        <v>49</v>
      </c>
      <c r="F19" s="3">
        <v>13</v>
      </c>
      <c r="G19" s="3">
        <v>79</v>
      </c>
      <c r="H19" s="3">
        <v>22</v>
      </c>
      <c r="I19" s="3">
        <v>79</v>
      </c>
      <c r="J19" s="3" t="s">
        <v>25</v>
      </c>
      <c r="K19" s="3" t="s">
        <v>20</v>
      </c>
      <c r="L19" s="3" t="s">
        <v>23</v>
      </c>
      <c r="N19" s="1">
        <f t="shared" si="1"/>
        <v>0.51724137931034486</v>
      </c>
      <c r="O19" s="1">
        <f t="shared" si="2"/>
        <v>0.33333333333333331</v>
      </c>
      <c r="P19" s="1">
        <f t="shared" si="3"/>
        <v>0.33333333333333331</v>
      </c>
      <c r="Q19" s="1">
        <f t="shared" si="4"/>
        <v>0.21052631578947367</v>
      </c>
      <c r="R19" s="1">
        <f t="shared" si="5"/>
        <v>0.37804878048780488</v>
      </c>
      <c r="S19" s="1">
        <f t="shared" si="6"/>
        <v>0.28125</v>
      </c>
      <c r="T19" s="1">
        <f t="shared" si="7"/>
        <v>2.0537331422542899</v>
      </c>
      <c r="V19" s="4">
        <f>Sheet1!AB19^2</f>
        <v>0.16025929628500796</v>
      </c>
      <c r="W19" s="5">
        <f>Sheet1!AC19^2</f>
        <v>0.35961131799490337</v>
      </c>
      <c r="X19" s="5">
        <f t="shared" si="8"/>
        <v>9.1347798882454541</v>
      </c>
      <c r="Y19">
        <f t="shared" si="9"/>
        <v>0.18600585413529486</v>
      </c>
      <c r="Z19" s="5">
        <f t="shared" si="10"/>
        <v>0.26431728390543474</v>
      </c>
      <c r="AA19" s="5">
        <f t="shared" si="11"/>
        <v>0.75610463926129601</v>
      </c>
      <c r="AB19" s="5">
        <f t="shared" si="12"/>
        <v>0.74097255468094558</v>
      </c>
      <c r="AC19" s="5">
        <f t="shared" si="13"/>
        <v>0.25902744531905442</v>
      </c>
      <c r="AD19" s="5">
        <f t="shared" si="14"/>
        <v>0.22373117537060072</v>
      </c>
      <c r="AF19" s="12">
        <f t="shared" si="15"/>
        <v>1</v>
      </c>
      <c r="AG19" s="12">
        <f t="shared" si="16"/>
        <v>0</v>
      </c>
    </row>
    <row r="20" spans="1:33" ht="27.6" x14ac:dyDescent="0.3">
      <c r="A20" s="2">
        <v>202208</v>
      </c>
      <c r="B20" s="6">
        <v>44794</v>
      </c>
      <c r="C20" s="3">
        <v>59</v>
      </c>
      <c r="D20" s="3">
        <v>101</v>
      </c>
      <c r="E20" s="3">
        <v>49</v>
      </c>
      <c r="F20" s="3">
        <v>13</v>
      </c>
      <c r="G20" s="3">
        <v>65</v>
      </c>
      <c r="H20" s="3">
        <v>17</v>
      </c>
      <c r="I20" s="3">
        <v>101</v>
      </c>
      <c r="J20" s="3" t="s">
        <v>19</v>
      </c>
      <c r="K20" s="3" t="s">
        <v>22</v>
      </c>
      <c r="L20" s="3" t="s">
        <v>21</v>
      </c>
      <c r="N20" s="1">
        <f t="shared" si="1"/>
        <v>0.55172413793103448</v>
      </c>
      <c r="O20" s="1">
        <f t="shared" si="2"/>
        <v>0.55238095238095242</v>
      </c>
      <c r="P20" s="1">
        <f t="shared" si="3"/>
        <v>0.33333333333333331</v>
      </c>
      <c r="Q20" s="1">
        <f t="shared" si="4"/>
        <v>0.21052631578947367</v>
      </c>
      <c r="R20" s="1">
        <f t="shared" si="5"/>
        <v>0.29268292682926828</v>
      </c>
      <c r="S20" s="1">
        <f t="shared" si="6"/>
        <v>0.125</v>
      </c>
      <c r="T20" s="1">
        <f t="shared" si="7"/>
        <v>2.0656476662640619</v>
      </c>
      <c r="V20" s="4">
        <f>Sheet1!AB20^2</f>
        <v>0.14148515126616745</v>
      </c>
      <c r="W20" s="5">
        <f>Sheet1!AC20^2</f>
        <v>0.38919491135561946</v>
      </c>
      <c r="X20" s="5">
        <f t="shared" si="8"/>
        <v>8.3476239247038801</v>
      </c>
      <c r="Y20">
        <f t="shared" si="9"/>
        <v>0.21472822695482452</v>
      </c>
      <c r="Z20" s="5">
        <f t="shared" si="10"/>
        <v>0.36700075799697607</v>
      </c>
      <c r="AA20" s="5">
        <f t="shared" si="11"/>
        <v>0.86624497733737826</v>
      </c>
      <c r="AB20" s="5">
        <f t="shared" si="12"/>
        <v>0.70241068143854091</v>
      </c>
      <c r="AC20" s="5">
        <f t="shared" si="13"/>
        <v>0.29758931856145909</v>
      </c>
      <c r="AD20" s="5">
        <f t="shared" si="14"/>
        <v>0.15068654350750643</v>
      </c>
      <c r="AF20" s="12">
        <f t="shared" si="15"/>
        <v>1</v>
      </c>
      <c r="AG20" s="12">
        <f t="shared" si="16"/>
        <v>0</v>
      </c>
    </row>
    <row r="21" spans="1:33" ht="27.6" x14ac:dyDescent="0.3">
      <c r="A21" s="2">
        <v>202208</v>
      </c>
      <c r="B21" s="6">
        <v>44793</v>
      </c>
      <c r="C21" s="3">
        <v>76</v>
      </c>
      <c r="D21" s="3">
        <v>117</v>
      </c>
      <c r="E21" s="3">
        <v>50</v>
      </c>
      <c r="F21" s="3">
        <v>14</v>
      </c>
      <c r="G21" s="3">
        <v>69</v>
      </c>
      <c r="H21" s="3">
        <v>18</v>
      </c>
      <c r="I21" s="3">
        <v>117</v>
      </c>
      <c r="J21" s="3" t="s">
        <v>19</v>
      </c>
      <c r="K21" s="3" t="s">
        <v>22</v>
      </c>
      <c r="L21" s="3" t="s">
        <v>21</v>
      </c>
      <c r="N21" s="1">
        <f t="shared" si="1"/>
        <v>0.84482758620689657</v>
      </c>
      <c r="O21" s="1">
        <f t="shared" si="2"/>
        <v>0.70476190476190481</v>
      </c>
      <c r="P21" s="1">
        <f t="shared" si="3"/>
        <v>0.41666666666666669</v>
      </c>
      <c r="Q21" s="1">
        <f t="shared" si="4"/>
        <v>0.26315789473684209</v>
      </c>
      <c r="R21" s="1">
        <f t="shared" si="5"/>
        <v>0.31707317073170732</v>
      </c>
      <c r="S21" s="1">
        <f t="shared" si="6"/>
        <v>0.15625</v>
      </c>
      <c r="T21" s="1">
        <f t="shared" si="7"/>
        <v>2.7027372231040174</v>
      </c>
      <c r="V21" s="4">
        <f>Sheet1!AB21^2</f>
        <v>0.12703046253714148</v>
      </c>
      <c r="W21" s="5">
        <f>Sheet1!AC21^2</f>
        <v>0.41420380047365923</v>
      </c>
      <c r="X21" s="5">
        <f t="shared" si="8"/>
        <v>9.6543151528227522</v>
      </c>
      <c r="Y21">
        <f t="shared" si="9"/>
        <v>0.34993079695188456</v>
      </c>
      <c r="Z21" s="5">
        <f t="shared" si="10"/>
        <v>0.43712072527260259</v>
      </c>
      <c r="AA21" s="5">
        <f t="shared" si="11"/>
        <v>1.5782356395910961</v>
      </c>
      <c r="AB21" s="5">
        <f t="shared" si="12"/>
        <v>0.78310499676707768</v>
      </c>
      <c r="AC21" s="5">
        <f t="shared" si="13"/>
        <v>0.21689500323292232</v>
      </c>
      <c r="AD21" s="5">
        <f t="shared" si="14"/>
        <v>6.1722589439818898E-2</v>
      </c>
      <c r="AF21" s="12">
        <f t="shared" si="15"/>
        <v>1</v>
      </c>
      <c r="AG21" s="12">
        <f t="shared" si="16"/>
        <v>0</v>
      </c>
    </row>
    <row r="22" spans="1:33" ht="27.6" x14ac:dyDescent="0.3">
      <c r="A22" s="2">
        <v>202208</v>
      </c>
      <c r="B22" s="6">
        <v>44792</v>
      </c>
      <c r="C22" s="3">
        <v>70</v>
      </c>
      <c r="D22" s="3">
        <v>105</v>
      </c>
      <c r="E22" s="3">
        <v>49</v>
      </c>
      <c r="F22" s="3">
        <v>14</v>
      </c>
      <c r="G22" s="3">
        <v>66</v>
      </c>
      <c r="H22" s="3">
        <v>26</v>
      </c>
      <c r="I22" s="3">
        <v>105</v>
      </c>
      <c r="J22" s="3" t="s">
        <v>19</v>
      </c>
      <c r="K22" s="3" t="s">
        <v>22</v>
      </c>
      <c r="L22" s="3" t="s">
        <v>21</v>
      </c>
      <c r="N22" s="1">
        <f t="shared" si="1"/>
        <v>0.74137931034482762</v>
      </c>
      <c r="O22" s="1">
        <f t="shared" si="2"/>
        <v>0.59047619047619049</v>
      </c>
      <c r="P22" s="1">
        <f t="shared" si="3"/>
        <v>0.33333333333333331</v>
      </c>
      <c r="Q22" s="1">
        <f t="shared" si="4"/>
        <v>0.26315789473684209</v>
      </c>
      <c r="R22" s="1">
        <f t="shared" si="5"/>
        <v>0.29878048780487804</v>
      </c>
      <c r="S22" s="1">
        <f t="shared" si="6"/>
        <v>0.40625</v>
      </c>
      <c r="T22" s="1">
        <f t="shared" si="7"/>
        <v>2.6333772166960712</v>
      </c>
      <c r="V22" s="4">
        <f>Sheet1!AB22^2</f>
        <v>8.5867054163383943E-2</v>
      </c>
      <c r="W22" s="5">
        <f>Sheet1!AC22^2</f>
        <v>0.49980543909758235</v>
      </c>
      <c r="X22" s="5">
        <f t="shared" si="8"/>
        <v>6.0106937914368759</v>
      </c>
      <c r="Y22">
        <f t="shared" si="9"/>
        <v>0.37054541174475936</v>
      </c>
      <c r="Z22" s="5">
        <f t="shared" si="10"/>
        <v>0.189781872533346</v>
      </c>
      <c r="AA22" s="5">
        <f t="shared" si="11"/>
        <v>1.3329774443930056</v>
      </c>
      <c r="AB22" s="5">
        <f t="shared" si="12"/>
        <v>0.8753697511984917</v>
      </c>
      <c r="AC22" s="5">
        <f t="shared" si="13"/>
        <v>0.1246302488015083</v>
      </c>
      <c r="AD22" s="5">
        <f t="shared" si="14"/>
        <v>0.13399044085366407</v>
      </c>
      <c r="AF22" s="12">
        <f t="shared" si="15"/>
        <v>1</v>
      </c>
      <c r="AG22" s="12">
        <f t="shared" si="16"/>
        <v>1</v>
      </c>
    </row>
    <row r="23" spans="1:33" x14ac:dyDescent="0.3">
      <c r="A23" s="2">
        <v>202208</v>
      </c>
      <c r="B23" s="6">
        <v>44791</v>
      </c>
      <c r="C23" s="3">
        <v>64</v>
      </c>
      <c r="D23" s="3">
        <v>89</v>
      </c>
      <c r="E23" s="3">
        <v>49</v>
      </c>
      <c r="F23" s="3">
        <v>25</v>
      </c>
      <c r="G23" s="3">
        <v>84</v>
      </c>
      <c r="H23" s="3">
        <v>28</v>
      </c>
      <c r="I23" s="3">
        <v>89</v>
      </c>
      <c r="J23" s="3" t="s">
        <v>19</v>
      </c>
      <c r="K23" s="3" t="s">
        <v>20</v>
      </c>
      <c r="L23" s="3" t="s">
        <v>21</v>
      </c>
      <c r="N23" s="1">
        <f t="shared" si="1"/>
        <v>0.63793103448275867</v>
      </c>
      <c r="O23" s="1">
        <f t="shared" si="2"/>
        <v>0.43809523809523809</v>
      </c>
      <c r="P23" s="1">
        <f t="shared" si="3"/>
        <v>0.33333333333333331</v>
      </c>
      <c r="Q23" s="1">
        <f t="shared" si="4"/>
        <v>0.84210526315789469</v>
      </c>
      <c r="R23" s="1">
        <f t="shared" si="5"/>
        <v>0.40853658536585363</v>
      </c>
      <c r="S23" s="1">
        <f t="shared" si="6"/>
        <v>0.46875</v>
      </c>
      <c r="T23" s="1">
        <f t="shared" si="7"/>
        <v>3.1287514544350787</v>
      </c>
      <c r="V23" s="4">
        <f>Sheet1!AB23^2</f>
        <v>0.22074944186316411</v>
      </c>
      <c r="W23" s="5">
        <f>Sheet1!AC23^2</f>
        <v>0.28106983292581122</v>
      </c>
      <c r="X23" s="5">
        <f t="shared" si="8"/>
        <v>14.127964279242503</v>
      </c>
      <c r="Y23">
        <f t="shared" si="9"/>
        <v>0.17930316928025891</v>
      </c>
      <c r="Z23" s="5">
        <f t="shared" si="10"/>
        <v>0.22049726620024265</v>
      </c>
      <c r="AA23" s="5">
        <f t="shared" si="11"/>
        <v>1.8057645318296955</v>
      </c>
      <c r="AB23" s="5">
        <f t="shared" si="12"/>
        <v>0.89118026781404847</v>
      </c>
      <c r="AC23" s="5">
        <f t="shared" si="13"/>
        <v>0.10881973218595153</v>
      </c>
      <c r="AD23" s="5">
        <f t="shared" si="14"/>
        <v>0.25324923333128979</v>
      </c>
      <c r="AF23" s="12">
        <f t="shared" si="15"/>
        <v>1</v>
      </c>
      <c r="AG23" s="12">
        <f t="shared" si="16"/>
        <v>0</v>
      </c>
    </row>
    <row r="24" spans="1:33" ht="27.6" x14ac:dyDescent="0.3">
      <c r="A24" s="2">
        <v>202208</v>
      </c>
      <c r="B24" s="6">
        <v>44790</v>
      </c>
      <c r="C24" s="3">
        <v>55</v>
      </c>
      <c r="D24" s="3">
        <v>78</v>
      </c>
      <c r="E24" s="3">
        <v>48</v>
      </c>
      <c r="F24" s="3">
        <v>17</v>
      </c>
      <c r="G24" s="3">
        <v>108</v>
      </c>
      <c r="H24" s="3">
        <v>25</v>
      </c>
      <c r="I24" s="3">
        <v>108</v>
      </c>
      <c r="J24" s="3" t="s">
        <v>25</v>
      </c>
      <c r="K24" s="3" t="s">
        <v>22</v>
      </c>
      <c r="L24" s="3" t="s">
        <v>23</v>
      </c>
      <c r="N24" s="1">
        <f t="shared" si="1"/>
        <v>0.48275862068965519</v>
      </c>
      <c r="O24" s="1">
        <f t="shared" si="2"/>
        <v>0.33333333333333331</v>
      </c>
      <c r="P24" s="1">
        <f t="shared" si="3"/>
        <v>0.25</v>
      </c>
      <c r="Q24" s="1">
        <f t="shared" si="4"/>
        <v>0.42105263157894735</v>
      </c>
      <c r="R24" s="1">
        <f t="shared" si="5"/>
        <v>0.55487804878048785</v>
      </c>
      <c r="S24" s="1">
        <f t="shared" si="6"/>
        <v>0.375</v>
      </c>
      <c r="T24" s="1">
        <f t="shared" si="7"/>
        <v>2.4170226343824237</v>
      </c>
      <c r="V24" s="4">
        <f>Sheet1!AB24^2</f>
        <v>0.16349952925093902</v>
      </c>
      <c r="W24" s="5">
        <f>Sheet1!AC24^2</f>
        <v>0.35479802869356025</v>
      </c>
      <c r="X24" s="5">
        <f t="shared" si="8"/>
        <v>8.9924741088016464</v>
      </c>
      <c r="Y24">
        <f t="shared" si="9"/>
        <v>0.17128180695551184</v>
      </c>
      <c r="Z24" s="5">
        <f t="shared" si="10"/>
        <v>0.27592447113926971</v>
      </c>
      <c r="AA24" s="5">
        <f t="shared" si="11"/>
        <v>1.0324669645392877</v>
      </c>
      <c r="AB24" s="5">
        <f t="shared" si="12"/>
        <v>0.78911168048408253</v>
      </c>
      <c r="AC24" s="5">
        <f t="shared" si="13"/>
        <v>0.21088831951591747</v>
      </c>
      <c r="AD24" s="5">
        <f t="shared" si="14"/>
        <v>0.30635305979442734</v>
      </c>
      <c r="AF24" s="12">
        <f t="shared" si="15"/>
        <v>1</v>
      </c>
      <c r="AG24" s="12">
        <f t="shared" si="16"/>
        <v>0</v>
      </c>
    </row>
    <row r="25" spans="1:33" ht="27.6" x14ac:dyDescent="0.3">
      <c r="A25" s="2">
        <v>202208</v>
      </c>
      <c r="B25" s="6">
        <v>44789</v>
      </c>
      <c r="C25" s="3">
        <v>61</v>
      </c>
      <c r="D25" s="3">
        <v>89</v>
      </c>
      <c r="E25" s="3">
        <v>51</v>
      </c>
      <c r="F25" s="3">
        <v>15</v>
      </c>
      <c r="G25" s="3">
        <v>181</v>
      </c>
      <c r="H25" s="3">
        <v>33</v>
      </c>
      <c r="I25" s="3">
        <v>181</v>
      </c>
      <c r="J25" s="3" t="s">
        <v>25</v>
      </c>
      <c r="K25" s="3" t="s">
        <v>22</v>
      </c>
      <c r="L25" s="3" t="s">
        <v>23</v>
      </c>
      <c r="N25" s="1">
        <f t="shared" si="1"/>
        <v>0.58620689655172409</v>
      </c>
      <c r="O25" s="1">
        <f t="shared" si="2"/>
        <v>0.43809523809523809</v>
      </c>
      <c r="P25" s="1">
        <f t="shared" si="3"/>
        <v>0.5</v>
      </c>
      <c r="Q25" s="1">
        <f t="shared" si="4"/>
        <v>0.31578947368421051</v>
      </c>
      <c r="R25" s="1">
        <f t="shared" si="5"/>
        <v>1</v>
      </c>
      <c r="S25" s="1">
        <f t="shared" si="6"/>
        <v>0.625</v>
      </c>
      <c r="T25" s="1">
        <f t="shared" si="7"/>
        <v>3.4650916083311727</v>
      </c>
      <c r="V25" s="4">
        <f>Sheet1!AB25^2</f>
        <v>0.20088451293547702</v>
      </c>
      <c r="W25" s="5">
        <f>Sheet1!AC25^2</f>
        <v>0.30448167283404803</v>
      </c>
      <c r="X25" s="5">
        <f t="shared" si="8"/>
        <v>12.253955289064098</v>
      </c>
      <c r="Y25">
        <f t="shared" si="9"/>
        <v>0.17848925648892469</v>
      </c>
      <c r="Z25" s="5">
        <f t="shared" si="10"/>
        <v>0.72147234532822546</v>
      </c>
      <c r="AA25" s="5">
        <f t="shared" si="11"/>
        <v>2.2759139548962777</v>
      </c>
      <c r="AB25" s="5">
        <f t="shared" si="12"/>
        <v>0.75929951195340173</v>
      </c>
      <c r="AC25" s="5">
        <f t="shared" si="13"/>
        <v>0.24070048804659827</v>
      </c>
      <c r="AD25" s="5">
        <f t="shared" si="14"/>
        <v>0.17309261540167764</v>
      </c>
      <c r="AF25" s="12">
        <f t="shared" si="15"/>
        <v>1</v>
      </c>
      <c r="AG25" s="12">
        <f t="shared" si="16"/>
        <v>1</v>
      </c>
    </row>
    <row r="26" spans="1:33" x14ac:dyDescent="0.3">
      <c r="A26" s="2">
        <v>202208</v>
      </c>
      <c r="B26" s="6">
        <v>44788</v>
      </c>
      <c r="C26" s="3">
        <v>64</v>
      </c>
      <c r="D26" s="3">
        <v>84</v>
      </c>
      <c r="E26" s="3">
        <v>50</v>
      </c>
      <c r="F26" s="3">
        <v>17</v>
      </c>
      <c r="G26" s="3">
        <v>63</v>
      </c>
      <c r="H26" s="3">
        <v>28</v>
      </c>
      <c r="I26" s="3">
        <v>84</v>
      </c>
      <c r="J26" s="3" t="s">
        <v>19</v>
      </c>
      <c r="K26" s="3" t="s">
        <v>20</v>
      </c>
      <c r="L26" s="3" t="s">
        <v>21</v>
      </c>
      <c r="N26" s="1">
        <f t="shared" si="1"/>
        <v>0.63793103448275867</v>
      </c>
      <c r="O26" s="1">
        <f t="shared" si="2"/>
        <v>0.39047619047619048</v>
      </c>
      <c r="P26" s="1">
        <f t="shared" si="3"/>
        <v>0.41666666666666669</v>
      </c>
      <c r="Q26" s="1">
        <f t="shared" si="4"/>
        <v>0.42105263157894735</v>
      </c>
      <c r="R26" s="1">
        <f t="shared" si="5"/>
        <v>0.28048780487804881</v>
      </c>
      <c r="S26" s="1">
        <f t="shared" si="6"/>
        <v>0.46875</v>
      </c>
      <c r="T26" s="1">
        <f t="shared" si="7"/>
        <v>2.6153643280826122</v>
      </c>
      <c r="V26" s="4">
        <f>Sheet1!AB26^2</f>
        <v>0.1321368943901835</v>
      </c>
      <c r="W26" s="5">
        <f>Sheet1!AC26^2</f>
        <v>0.40512411763812811</v>
      </c>
      <c r="X26" s="5">
        <f t="shared" si="8"/>
        <v>8.4567612409717441</v>
      </c>
      <c r="Y26">
        <f t="shared" si="9"/>
        <v>0.25844124745880587</v>
      </c>
      <c r="Z26" s="5">
        <f t="shared" si="10"/>
        <v>4.7180415039881358E-2</v>
      </c>
      <c r="AA26" s="5">
        <f t="shared" si="11"/>
        <v>1.208724060941015</v>
      </c>
      <c r="AB26" s="5">
        <f t="shared" si="12"/>
        <v>0.96243311816925237</v>
      </c>
      <c r="AC26" s="5">
        <f t="shared" si="13"/>
        <v>3.7566881830747634E-2</v>
      </c>
      <c r="AD26" s="5">
        <f t="shared" si="14"/>
        <v>0.32450208368649369</v>
      </c>
      <c r="AF26" s="12">
        <f t="shared" si="15"/>
        <v>1</v>
      </c>
      <c r="AG26" s="12">
        <f t="shared" si="16"/>
        <v>1</v>
      </c>
    </row>
    <row r="27" spans="1:33" x14ac:dyDescent="0.3">
      <c r="A27" s="2">
        <v>202208</v>
      </c>
      <c r="B27" s="6">
        <v>44787</v>
      </c>
      <c r="C27" s="3">
        <v>68</v>
      </c>
      <c r="D27" s="3">
        <v>93</v>
      </c>
      <c r="E27" s="3">
        <v>50</v>
      </c>
      <c r="F27" s="3">
        <v>14</v>
      </c>
      <c r="G27" s="3">
        <v>80</v>
      </c>
      <c r="H27" s="3">
        <v>20</v>
      </c>
      <c r="I27" s="3">
        <v>93</v>
      </c>
      <c r="J27" s="3" t="s">
        <v>19</v>
      </c>
      <c r="K27" s="3" t="s">
        <v>20</v>
      </c>
      <c r="L27" s="3" t="s">
        <v>21</v>
      </c>
      <c r="N27" s="1">
        <f t="shared" si="1"/>
        <v>0.7068965517241379</v>
      </c>
      <c r="O27" s="1">
        <f t="shared" si="2"/>
        <v>0.47619047619047616</v>
      </c>
      <c r="P27" s="1">
        <f t="shared" si="3"/>
        <v>0.41666666666666669</v>
      </c>
      <c r="Q27" s="1">
        <f t="shared" si="4"/>
        <v>0.26315789473684209</v>
      </c>
      <c r="R27" s="1">
        <f t="shared" si="5"/>
        <v>0.38414634146341464</v>
      </c>
      <c r="S27" s="1">
        <f t="shared" si="6"/>
        <v>0.21875</v>
      </c>
      <c r="T27" s="1">
        <f t="shared" si="7"/>
        <v>2.4658079307815375</v>
      </c>
      <c r="V27" s="4">
        <f>Sheet1!AB27^2</f>
        <v>9.6344459896548051E-2</v>
      </c>
      <c r="W27" s="5">
        <f>Sheet1!AC27^2</f>
        <v>0.47555638044737542</v>
      </c>
      <c r="X27" s="5">
        <f t="shared" si="8"/>
        <v>6.5514232729652679</v>
      </c>
      <c r="Y27">
        <f t="shared" si="9"/>
        <v>0.33616916548866194</v>
      </c>
      <c r="Z27" s="5">
        <f t="shared" si="10"/>
        <v>0.27682940585309701</v>
      </c>
      <c r="AA27" s="5">
        <f t="shared" si="11"/>
        <v>1.1647432672871536</v>
      </c>
      <c r="AB27" s="5">
        <f t="shared" si="12"/>
        <v>0.80796708274854745</v>
      </c>
      <c r="AC27" s="5">
        <f t="shared" si="13"/>
        <v>0.19203291725145255</v>
      </c>
      <c r="AD27" s="5">
        <f t="shared" si="14"/>
        <v>0.10107053102440955</v>
      </c>
      <c r="AF27" s="12">
        <f t="shared" si="15"/>
        <v>1</v>
      </c>
      <c r="AG27" s="12">
        <f t="shared" si="16"/>
        <v>1</v>
      </c>
    </row>
    <row r="28" spans="1:33" x14ac:dyDescent="0.3">
      <c r="A28" s="2">
        <v>202208</v>
      </c>
      <c r="B28" s="6">
        <v>44786</v>
      </c>
      <c r="C28" s="3">
        <v>58</v>
      </c>
      <c r="D28" s="3">
        <v>77</v>
      </c>
      <c r="E28" s="3">
        <v>48</v>
      </c>
      <c r="F28" s="3">
        <v>21</v>
      </c>
      <c r="G28" s="3">
        <v>76</v>
      </c>
      <c r="H28" s="3">
        <v>36</v>
      </c>
      <c r="I28" s="3">
        <v>77</v>
      </c>
      <c r="J28" s="3" t="s">
        <v>19</v>
      </c>
      <c r="K28" s="3" t="s">
        <v>20</v>
      </c>
      <c r="L28" s="3" t="s">
        <v>24</v>
      </c>
      <c r="N28" s="1">
        <f t="shared" si="1"/>
        <v>0.53448275862068961</v>
      </c>
      <c r="O28" s="1">
        <f t="shared" si="2"/>
        <v>0.32380952380952382</v>
      </c>
      <c r="P28" s="1">
        <f t="shared" si="3"/>
        <v>0.25</v>
      </c>
      <c r="Q28" s="1">
        <f t="shared" si="4"/>
        <v>0.63157894736842102</v>
      </c>
      <c r="R28" s="1">
        <f t="shared" si="5"/>
        <v>0.3597560975609756</v>
      </c>
      <c r="S28" s="1">
        <f t="shared" si="6"/>
        <v>0.71875</v>
      </c>
      <c r="T28" s="1">
        <f t="shared" si="7"/>
        <v>2.81837732735961</v>
      </c>
      <c r="V28" s="4">
        <f>Sheet1!AB28^2</f>
        <v>0.31773953567701646</v>
      </c>
      <c r="W28" s="5">
        <f>Sheet1!AC28^2</f>
        <v>0.19037174178361901</v>
      </c>
      <c r="X28" s="5">
        <f t="shared" si="8"/>
        <v>18.428893069266955</v>
      </c>
      <c r="Y28">
        <f t="shared" si="9"/>
        <v>0.10175041371193429</v>
      </c>
      <c r="Z28" s="5">
        <f t="shared" si="10"/>
        <v>0.1306211091199585</v>
      </c>
      <c r="AA28" s="5">
        <f t="shared" si="11"/>
        <v>1.4979424059638378</v>
      </c>
      <c r="AB28" s="5">
        <f t="shared" si="12"/>
        <v>0.91979366606819901</v>
      </c>
      <c r="AC28" s="5">
        <f t="shared" si="13"/>
        <v>8.0206333931800988E-2</v>
      </c>
      <c r="AD28" s="5">
        <f t="shared" si="14"/>
        <v>0.3853109074475094</v>
      </c>
      <c r="AF28" s="12">
        <f t="shared" si="15"/>
        <v>1</v>
      </c>
      <c r="AG28" s="12">
        <f t="shared" si="16"/>
        <v>1</v>
      </c>
    </row>
    <row r="29" spans="1:33" x14ac:dyDescent="0.3">
      <c r="A29" s="2">
        <v>202208</v>
      </c>
      <c r="B29" s="6">
        <v>44785</v>
      </c>
      <c r="C29" s="3">
        <v>65</v>
      </c>
      <c r="D29" s="3">
        <v>94</v>
      </c>
      <c r="E29" s="3">
        <v>49</v>
      </c>
      <c r="F29" s="3">
        <v>17</v>
      </c>
      <c r="G29" s="3">
        <v>97</v>
      </c>
      <c r="H29" s="3">
        <v>25</v>
      </c>
      <c r="I29" s="3">
        <v>97</v>
      </c>
      <c r="J29" s="3" t="s">
        <v>25</v>
      </c>
      <c r="K29" s="3" t="s">
        <v>20</v>
      </c>
      <c r="L29" s="3" t="s">
        <v>23</v>
      </c>
      <c r="N29" s="1">
        <f t="shared" si="1"/>
        <v>0.65517241379310343</v>
      </c>
      <c r="O29" s="1">
        <f t="shared" si="2"/>
        <v>0.48571428571428571</v>
      </c>
      <c r="P29" s="1">
        <f t="shared" si="3"/>
        <v>0.33333333333333331</v>
      </c>
      <c r="Q29" s="1">
        <f t="shared" si="4"/>
        <v>0.42105263157894735</v>
      </c>
      <c r="R29" s="1">
        <f t="shared" si="5"/>
        <v>0.48780487804878048</v>
      </c>
      <c r="S29" s="1">
        <f t="shared" si="6"/>
        <v>0.375</v>
      </c>
      <c r="T29" s="1">
        <f t="shared" si="7"/>
        <v>2.7580775424684503</v>
      </c>
      <c r="V29" s="4">
        <f>Sheet1!AB29^2</f>
        <v>6.9081739002456802E-2</v>
      </c>
      <c r="W29" s="5">
        <f>Sheet1!AC29^2</f>
        <v>0.54341363457740499</v>
      </c>
      <c r="X29" s="5">
        <f t="shared" si="8"/>
        <v>4.4903130351596925</v>
      </c>
      <c r="Y29">
        <f t="shared" si="9"/>
        <v>0.35602962265416188</v>
      </c>
      <c r="Z29" s="5">
        <f t="shared" si="10"/>
        <v>0.19248579575472513</v>
      </c>
      <c r="AA29" s="5">
        <f t="shared" si="11"/>
        <v>1.3321442878612739</v>
      </c>
      <c r="AB29" s="5">
        <f t="shared" si="12"/>
        <v>0.87374918163873416</v>
      </c>
      <c r="AC29" s="5">
        <f t="shared" si="13"/>
        <v>0.12625081836126584</v>
      </c>
      <c r="AD29" s="5">
        <f t="shared" si="14"/>
        <v>0.21857676784563074</v>
      </c>
      <c r="AF29" s="12">
        <f t="shared" si="15"/>
        <v>1</v>
      </c>
      <c r="AG29" s="12">
        <f t="shared" si="16"/>
        <v>0</v>
      </c>
    </row>
    <row r="30" spans="1:33" ht="27.6" x14ac:dyDescent="0.3">
      <c r="A30" s="2">
        <v>202208</v>
      </c>
      <c r="B30" s="6">
        <v>44784</v>
      </c>
      <c r="C30" s="3">
        <v>74</v>
      </c>
      <c r="D30" s="3">
        <v>107</v>
      </c>
      <c r="E30" s="3">
        <v>52</v>
      </c>
      <c r="F30" s="3">
        <v>19</v>
      </c>
      <c r="G30" s="3">
        <v>80</v>
      </c>
      <c r="H30" s="3">
        <v>27</v>
      </c>
      <c r="I30" s="3">
        <v>107</v>
      </c>
      <c r="J30" s="3" t="s">
        <v>19</v>
      </c>
      <c r="K30" s="3" t="s">
        <v>22</v>
      </c>
      <c r="L30" s="3" t="s">
        <v>21</v>
      </c>
      <c r="N30" s="1">
        <f t="shared" si="1"/>
        <v>0.81034482758620685</v>
      </c>
      <c r="O30" s="1">
        <f t="shared" si="2"/>
        <v>0.60952380952380958</v>
      </c>
      <c r="P30" s="1">
        <f t="shared" si="3"/>
        <v>0.58333333333333337</v>
      </c>
      <c r="Q30" s="1">
        <f t="shared" si="4"/>
        <v>0.52631578947368418</v>
      </c>
      <c r="R30" s="1">
        <f t="shared" si="5"/>
        <v>0.38414634146341464</v>
      </c>
      <c r="S30" s="1">
        <f t="shared" si="6"/>
        <v>0.4375</v>
      </c>
      <c r="T30" s="1">
        <f t="shared" si="7"/>
        <v>3.3511641013804487</v>
      </c>
      <c r="V30" s="4">
        <f>Sheet1!AB30^2</f>
        <v>0.12446724094897423</v>
      </c>
      <c r="W30" s="5">
        <f>Sheet1!AC30^2</f>
        <v>0.41886893894145322</v>
      </c>
      <c r="X30" s="5">
        <f t="shared" si="8"/>
        <v>9.2105758302240925</v>
      </c>
      <c r="Y30">
        <f t="shared" si="9"/>
        <v>0.3394282781077293</v>
      </c>
      <c r="Z30" s="5">
        <f t="shared" si="10"/>
        <v>0.17758783615495746</v>
      </c>
      <c r="AA30" s="5">
        <f t="shared" si="11"/>
        <v>1.9844387636589484</v>
      </c>
      <c r="AB30" s="5">
        <f t="shared" si="12"/>
        <v>0.91786047582844588</v>
      </c>
      <c r="AC30" s="5">
        <f t="shared" si="13"/>
        <v>8.2139524171554124E-2</v>
      </c>
      <c r="AD30" s="5">
        <f t="shared" si="14"/>
        <v>0.10751564824223903</v>
      </c>
      <c r="AF30" s="12">
        <f t="shared" si="15"/>
        <v>1</v>
      </c>
      <c r="AG30" s="12">
        <f t="shared" si="16"/>
        <v>0</v>
      </c>
    </row>
    <row r="31" spans="1:33" ht="27.6" x14ac:dyDescent="0.3">
      <c r="A31" s="2">
        <v>202208</v>
      </c>
      <c r="B31" s="6">
        <v>44783</v>
      </c>
      <c r="C31" s="3">
        <v>73</v>
      </c>
      <c r="D31" s="3">
        <v>116</v>
      </c>
      <c r="E31" s="3">
        <v>49</v>
      </c>
      <c r="F31" s="3">
        <v>19</v>
      </c>
      <c r="G31" s="3">
        <v>82</v>
      </c>
      <c r="H31" s="3">
        <v>29</v>
      </c>
      <c r="I31" s="3">
        <v>116</v>
      </c>
      <c r="J31" s="3" t="s">
        <v>19</v>
      </c>
      <c r="K31" s="3" t="s">
        <v>22</v>
      </c>
      <c r="L31" s="3" t="s">
        <v>21</v>
      </c>
      <c r="N31" s="1">
        <f t="shared" si="1"/>
        <v>0.7931034482758621</v>
      </c>
      <c r="O31" s="1">
        <f t="shared" si="2"/>
        <v>0.69523809523809521</v>
      </c>
      <c r="P31" s="1">
        <f t="shared" si="3"/>
        <v>0.33333333333333331</v>
      </c>
      <c r="Q31" s="1">
        <f t="shared" si="4"/>
        <v>0.52631578947368418</v>
      </c>
      <c r="R31" s="1">
        <f t="shared" si="5"/>
        <v>0.39634146341463417</v>
      </c>
      <c r="S31" s="1">
        <f t="shared" si="6"/>
        <v>0.5</v>
      </c>
      <c r="T31" s="1">
        <f t="shared" si="7"/>
        <v>3.2443321297356089</v>
      </c>
      <c r="V31" s="4">
        <f>Sheet1!AB31^2</f>
        <v>0.11728458545883742</v>
      </c>
      <c r="W31" s="5">
        <f>Sheet1!AC31^2</f>
        <v>0.43234784251438879</v>
      </c>
      <c r="X31" s="5">
        <f t="shared" si="8"/>
        <v>8.5617747384951315</v>
      </c>
      <c r="Y31">
        <f t="shared" si="9"/>
        <v>0.34289656475279112</v>
      </c>
      <c r="Z31" s="5">
        <f t="shared" si="10"/>
        <v>0.20691836540753714</v>
      </c>
      <c r="AA31" s="5">
        <f t="shared" si="11"/>
        <v>1.9075750657194304</v>
      </c>
      <c r="AB31" s="5">
        <f t="shared" si="12"/>
        <v>0.90214281947555863</v>
      </c>
      <c r="AC31" s="5">
        <f t="shared" si="13"/>
        <v>9.7857180524441367E-2</v>
      </c>
      <c r="AD31" s="5">
        <f t="shared" si="14"/>
        <v>0.10903937119969653</v>
      </c>
      <c r="AF31" s="12">
        <f t="shared" si="15"/>
        <v>1</v>
      </c>
      <c r="AG31" s="12">
        <f t="shared" si="16"/>
        <v>0</v>
      </c>
    </row>
    <row r="32" spans="1:33" ht="27.6" x14ac:dyDescent="0.3">
      <c r="A32" s="2">
        <v>202208</v>
      </c>
      <c r="B32" s="6">
        <v>44782</v>
      </c>
      <c r="C32" s="3">
        <v>61</v>
      </c>
      <c r="D32" s="3">
        <v>88</v>
      </c>
      <c r="E32" s="3">
        <v>50</v>
      </c>
      <c r="F32" s="3">
        <v>14</v>
      </c>
      <c r="G32" s="3">
        <v>103</v>
      </c>
      <c r="H32" s="3">
        <v>21</v>
      </c>
      <c r="I32" s="3">
        <v>103</v>
      </c>
      <c r="J32" s="3" t="s">
        <v>25</v>
      </c>
      <c r="K32" s="3" t="s">
        <v>22</v>
      </c>
      <c r="L32" s="3" t="s">
        <v>23</v>
      </c>
      <c r="N32" s="1">
        <f t="shared" si="1"/>
        <v>0.58620689655172409</v>
      </c>
      <c r="O32" s="1">
        <f t="shared" si="2"/>
        <v>0.42857142857142855</v>
      </c>
      <c r="P32" s="1">
        <f t="shared" si="3"/>
        <v>0.41666666666666669</v>
      </c>
      <c r="Q32" s="1">
        <f t="shared" si="4"/>
        <v>0.26315789473684209</v>
      </c>
      <c r="R32" s="1">
        <f t="shared" si="5"/>
        <v>0.52439024390243905</v>
      </c>
      <c r="S32" s="1">
        <f t="shared" si="6"/>
        <v>0.25</v>
      </c>
      <c r="T32" s="1">
        <f t="shared" si="7"/>
        <v>2.4689931304291006</v>
      </c>
      <c r="V32" s="4">
        <f>Sheet1!AB32^2</f>
        <v>0.11893819381856659</v>
      </c>
      <c r="W32" s="5">
        <f>Sheet1!AC32^2</f>
        <v>0.42918985183123987</v>
      </c>
      <c r="X32" s="5">
        <f t="shared" si="8"/>
        <v>7.255229822932562</v>
      </c>
      <c r="Y32">
        <f t="shared" si="9"/>
        <v>0.25159405107348543</v>
      </c>
      <c r="Z32" s="5">
        <f t="shared" si="10"/>
        <v>0.31165201321085723</v>
      </c>
      <c r="AA32" s="5">
        <f t="shared" si="11"/>
        <v>1.1076603115260564</v>
      </c>
      <c r="AB32" s="5">
        <f t="shared" si="12"/>
        <v>0.78042041361923231</v>
      </c>
      <c r="AC32" s="5">
        <f t="shared" si="13"/>
        <v>0.21957958638076769</v>
      </c>
      <c r="AD32" s="5">
        <f t="shared" si="14"/>
        <v>0.19421351706750822</v>
      </c>
      <c r="AF32" s="12">
        <f t="shared" si="15"/>
        <v>1</v>
      </c>
      <c r="AG32" s="12">
        <f t="shared" si="16"/>
        <v>1</v>
      </c>
    </row>
    <row r="33" spans="1:33" x14ac:dyDescent="0.3">
      <c r="A33" s="2">
        <v>202208</v>
      </c>
      <c r="B33" s="6">
        <v>44781</v>
      </c>
      <c r="C33" s="3">
        <v>60</v>
      </c>
      <c r="D33" s="3">
        <v>84</v>
      </c>
      <c r="E33" s="3">
        <v>48</v>
      </c>
      <c r="F33" s="3">
        <v>18</v>
      </c>
      <c r="G33" s="3">
        <v>97</v>
      </c>
      <c r="H33" s="3">
        <v>27</v>
      </c>
      <c r="I33" s="3">
        <v>97</v>
      </c>
      <c r="J33" s="3" t="s">
        <v>25</v>
      </c>
      <c r="K33" s="3" t="s">
        <v>20</v>
      </c>
      <c r="L33" s="3" t="s">
        <v>23</v>
      </c>
      <c r="N33" s="1">
        <f t="shared" si="1"/>
        <v>0.56896551724137934</v>
      </c>
      <c r="O33" s="1">
        <f t="shared" si="2"/>
        <v>0.39047619047619048</v>
      </c>
      <c r="P33" s="1">
        <f t="shared" si="3"/>
        <v>0.25</v>
      </c>
      <c r="Q33" s="1">
        <f t="shared" si="4"/>
        <v>0.47368421052631576</v>
      </c>
      <c r="R33" s="1">
        <f t="shared" si="5"/>
        <v>0.48780487804878048</v>
      </c>
      <c r="S33" s="1">
        <f t="shared" si="6"/>
        <v>0.4375</v>
      </c>
      <c r="T33" s="1">
        <f t="shared" si="7"/>
        <v>2.6084307962926658</v>
      </c>
      <c r="V33" s="4">
        <f>Sheet1!AB33^2</f>
        <v>0.13777580753067833</v>
      </c>
      <c r="W33" s="5">
        <f>Sheet1!AC33^2</f>
        <v>0.39541253384136565</v>
      </c>
      <c r="X33" s="5">
        <f t="shared" si="8"/>
        <v>8.2665484518407002</v>
      </c>
      <c r="Y33">
        <f t="shared" si="9"/>
        <v>0.22497609684077702</v>
      </c>
      <c r="Z33" s="5">
        <f t="shared" si="10"/>
        <v>0.18378600913388754</v>
      </c>
      <c r="AA33" s="5">
        <f t="shared" si="11"/>
        <v>1.192429995488673</v>
      </c>
      <c r="AB33" s="5">
        <f t="shared" si="12"/>
        <v>0.86645555020682052</v>
      </c>
      <c r="AC33" s="5">
        <f t="shared" si="13"/>
        <v>0.13354444979317948</v>
      </c>
      <c r="AD33" s="5">
        <f t="shared" si="14"/>
        <v>0.29749003296544119</v>
      </c>
      <c r="AF33" s="12">
        <f t="shared" si="15"/>
        <v>1</v>
      </c>
      <c r="AG33" s="12">
        <f t="shared" si="16"/>
        <v>0</v>
      </c>
    </row>
    <row r="34" spans="1:33" ht="27.6" x14ac:dyDescent="0.3">
      <c r="A34" s="2">
        <v>202208</v>
      </c>
      <c r="B34" s="6">
        <v>44780</v>
      </c>
      <c r="C34" s="3">
        <v>76</v>
      </c>
      <c r="D34" s="3">
        <v>119</v>
      </c>
      <c r="E34" s="3">
        <v>50</v>
      </c>
      <c r="F34" s="3">
        <v>18</v>
      </c>
      <c r="G34" s="3">
        <v>114</v>
      </c>
      <c r="H34" s="3">
        <v>29</v>
      </c>
      <c r="I34" s="3">
        <v>119</v>
      </c>
      <c r="J34" s="3" t="s">
        <v>19</v>
      </c>
      <c r="K34" s="3" t="s">
        <v>22</v>
      </c>
      <c r="L34" s="3" t="s">
        <v>21</v>
      </c>
      <c r="N34" s="1">
        <f t="shared" si="1"/>
        <v>0.84482758620689657</v>
      </c>
      <c r="O34" s="1">
        <f t="shared" si="2"/>
        <v>0.72380952380952379</v>
      </c>
      <c r="P34" s="1">
        <f t="shared" si="3"/>
        <v>0.41666666666666669</v>
      </c>
      <c r="Q34" s="1">
        <f t="shared" si="4"/>
        <v>0.47368421052631576</v>
      </c>
      <c r="R34" s="1">
        <f t="shared" si="5"/>
        <v>0.59146341463414631</v>
      </c>
      <c r="S34" s="1">
        <f t="shared" si="6"/>
        <v>0.5</v>
      </c>
      <c r="T34" s="1">
        <f t="shared" si="7"/>
        <v>3.5504514018435489</v>
      </c>
      <c r="V34" s="4">
        <f>Sheet1!AB34^2</f>
        <v>0.13554920082698541</v>
      </c>
      <c r="W34" s="5">
        <f>Sheet1!AC34^2</f>
        <v>0.39920905978621501</v>
      </c>
      <c r="X34" s="5">
        <f t="shared" si="8"/>
        <v>10.301739262850891</v>
      </c>
      <c r="Y34">
        <f t="shared" si="9"/>
        <v>0.33726282637111271</v>
      </c>
      <c r="Z34" s="5">
        <f t="shared" si="10"/>
        <v>0.35730005867924736</v>
      </c>
      <c r="AA34" s="5">
        <f t="shared" si="11"/>
        <v>2.2354506904372755</v>
      </c>
      <c r="AB34" s="5">
        <f t="shared" si="12"/>
        <v>0.86219266977321407</v>
      </c>
      <c r="AC34" s="5">
        <f t="shared" si="13"/>
        <v>0.13780733022678593</v>
      </c>
      <c r="AD34" s="5">
        <f t="shared" si="14"/>
        <v>1.7365083566317496E-2</v>
      </c>
      <c r="AF34" s="12">
        <f t="shared" si="15"/>
        <v>1</v>
      </c>
      <c r="AG34" s="12">
        <f t="shared" si="16"/>
        <v>0</v>
      </c>
    </row>
    <row r="35" spans="1:33" ht="27.6" x14ac:dyDescent="0.3">
      <c r="A35" s="2">
        <v>202208</v>
      </c>
      <c r="B35" s="6">
        <v>44779</v>
      </c>
      <c r="C35" s="3">
        <v>69</v>
      </c>
      <c r="D35" s="3">
        <v>101</v>
      </c>
      <c r="E35" s="3">
        <v>49</v>
      </c>
      <c r="F35" s="3">
        <v>19</v>
      </c>
      <c r="G35" s="3">
        <v>87</v>
      </c>
      <c r="H35" s="3">
        <v>29</v>
      </c>
      <c r="I35" s="3">
        <v>101</v>
      </c>
      <c r="J35" s="3" t="s">
        <v>19</v>
      </c>
      <c r="K35" s="3" t="s">
        <v>22</v>
      </c>
      <c r="L35" s="3" t="s">
        <v>21</v>
      </c>
      <c r="N35" s="1">
        <f t="shared" si="1"/>
        <v>0.72413793103448276</v>
      </c>
      <c r="O35" s="1">
        <f t="shared" si="2"/>
        <v>0.55238095238095242</v>
      </c>
      <c r="P35" s="1">
        <f t="shared" si="3"/>
        <v>0.33333333333333331</v>
      </c>
      <c r="Q35" s="1">
        <f t="shared" si="4"/>
        <v>0.52631578947368418</v>
      </c>
      <c r="R35" s="1">
        <f t="shared" si="5"/>
        <v>0.42682926829268292</v>
      </c>
      <c r="S35" s="1">
        <f t="shared" si="6"/>
        <v>0.5</v>
      </c>
      <c r="T35" s="1">
        <f t="shared" si="7"/>
        <v>3.0629972745151357</v>
      </c>
      <c r="V35" s="4">
        <f>Sheet1!AB35^2</f>
        <v>8.8590854134198774E-2</v>
      </c>
      <c r="W35" s="5">
        <f>Sheet1!AC35^2</f>
        <v>0.4933065384187626</v>
      </c>
      <c r="X35" s="5">
        <f t="shared" si="8"/>
        <v>6.112768935259715</v>
      </c>
      <c r="Y35">
        <f t="shared" si="9"/>
        <v>0.35722197609634532</v>
      </c>
      <c r="Z35" s="5">
        <f t="shared" si="10"/>
        <v>0.13913827342001184</v>
      </c>
      <c r="AA35" s="5">
        <f t="shared" si="11"/>
        <v>1.6498031053478752</v>
      </c>
      <c r="AB35" s="5">
        <f t="shared" si="12"/>
        <v>0.92222312308755372</v>
      </c>
      <c r="AC35" s="5">
        <f t="shared" si="13"/>
        <v>7.777687691244628E-2</v>
      </c>
      <c r="AD35" s="5">
        <f t="shared" si="14"/>
        <v>0.19808519205307096</v>
      </c>
      <c r="AF35" s="12">
        <f t="shared" si="15"/>
        <v>1</v>
      </c>
      <c r="AG35" s="12">
        <f t="shared" si="16"/>
        <v>1</v>
      </c>
    </row>
    <row r="36" spans="1:33" x14ac:dyDescent="0.3">
      <c r="A36" s="2">
        <v>202208</v>
      </c>
      <c r="B36" s="6">
        <v>44778</v>
      </c>
      <c r="C36" s="3">
        <v>60</v>
      </c>
      <c r="D36" s="3">
        <v>82</v>
      </c>
      <c r="E36" s="3">
        <v>47</v>
      </c>
      <c r="F36" s="3">
        <v>17</v>
      </c>
      <c r="G36" s="3">
        <v>79</v>
      </c>
      <c r="H36" s="3">
        <v>26</v>
      </c>
      <c r="I36" s="3">
        <v>82</v>
      </c>
      <c r="J36" s="3" t="s">
        <v>19</v>
      </c>
      <c r="K36" s="3" t="s">
        <v>20</v>
      </c>
      <c r="L36" s="3" t="s">
        <v>21</v>
      </c>
      <c r="N36" s="1">
        <f t="shared" si="1"/>
        <v>0.56896551724137934</v>
      </c>
      <c r="O36" s="1">
        <f t="shared" si="2"/>
        <v>0.37142857142857144</v>
      </c>
      <c r="P36" s="1">
        <f t="shared" si="3"/>
        <v>0.16666666666666666</v>
      </c>
      <c r="Q36" s="1">
        <f t="shared" si="4"/>
        <v>0.42105263157894735</v>
      </c>
      <c r="R36" s="1">
        <f t="shared" si="5"/>
        <v>0.37804878048780488</v>
      </c>
      <c r="S36" s="1">
        <f t="shared" si="6"/>
        <v>0.40625</v>
      </c>
      <c r="T36" s="1">
        <f t="shared" si="7"/>
        <v>2.3124121674033695</v>
      </c>
      <c r="V36" s="4">
        <f>Sheet1!AB36^2</f>
        <v>0.15649526557896951</v>
      </c>
      <c r="W36" s="5">
        <f>Sheet1!AC36^2</f>
        <v>0.36530561554815799</v>
      </c>
      <c r="X36" s="5">
        <f t="shared" si="8"/>
        <v>9.3897159347381702</v>
      </c>
      <c r="Y36">
        <f t="shared" si="9"/>
        <v>0.20784629850153818</v>
      </c>
      <c r="Z36" s="5">
        <f t="shared" si="10"/>
        <v>0.19017825462209748</v>
      </c>
      <c r="AA36" s="5">
        <f t="shared" si="11"/>
        <v>0.97470398274887082</v>
      </c>
      <c r="AB36" s="5">
        <f t="shared" si="12"/>
        <v>0.83674036008024966</v>
      </c>
      <c r="AC36" s="5">
        <f t="shared" si="13"/>
        <v>0.16325963991975034</v>
      </c>
      <c r="AD36" s="5">
        <f t="shared" si="14"/>
        <v>0.26777484283887032</v>
      </c>
      <c r="AF36" s="12">
        <f t="shared" si="15"/>
        <v>1</v>
      </c>
      <c r="AG36" s="12">
        <f t="shared" si="16"/>
        <v>1</v>
      </c>
    </row>
    <row r="37" spans="1:33" x14ac:dyDescent="0.3">
      <c r="A37" s="2">
        <v>202208</v>
      </c>
      <c r="B37" s="6">
        <v>44777</v>
      </c>
      <c r="C37" s="3">
        <v>69</v>
      </c>
      <c r="D37" s="3">
        <v>99</v>
      </c>
      <c r="E37" s="3">
        <v>48</v>
      </c>
      <c r="F37" s="3">
        <v>15</v>
      </c>
      <c r="G37" s="3">
        <v>82</v>
      </c>
      <c r="H37" s="3">
        <v>20</v>
      </c>
      <c r="I37" s="3">
        <v>99</v>
      </c>
      <c r="J37" s="3" t="s">
        <v>19</v>
      </c>
      <c r="K37" s="3" t="s">
        <v>20</v>
      </c>
      <c r="L37" s="3" t="s">
        <v>21</v>
      </c>
      <c r="N37" s="1">
        <f t="shared" si="1"/>
        <v>0.72413793103448276</v>
      </c>
      <c r="O37" s="1">
        <f t="shared" si="2"/>
        <v>0.53333333333333333</v>
      </c>
      <c r="P37" s="1">
        <f t="shared" si="3"/>
        <v>0.25</v>
      </c>
      <c r="Q37" s="1">
        <f t="shared" si="4"/>
        <v>0.31578947368421051</v>
      </c>
      <c r="R37" s="1">
        <f t="shared" si="5"/>
        <v>0.39634146341463417</v>
      </c>
      <c r="S37" s="1">
        <f t="shared" si="6"/>
        <v>0.21875</v>
      </c>
      <c r="T37" s="1">
        <f t="shared" si="7"/>
        <v>2.4383522014666608</v>
      </c>
      <c r="V37" s="4">
        <f>Sheet1!AB37^2</f>
        <v>9.9073530521205266E-2</v>
      </c>
      <c r="W37" s="5">
        <f>Sheet1!AC37^2</f>
        <v>0.46955456965916648</v>
      </c>
      <c r="X37" s="5">
        <f t="shared" si="8"/>
        <v>6.836073605963163</v>
      </c>
      <c r="Y37">
        <f t="shared" si="9"/>
        <v>0.34002227458077572</v>
      </c>
      <c r="Z37" s="5">
        <f t="shared" si="10"/>
        <v>0.32300513150647098</v>
      </c>
      <c r="AA37" s="5">
        <f t="shared" si="11"/>
        <v>1.1759812974187502</v>
      </c>
      <c r="AB37" s="5">
        <f t="shared" si="12"/>
        <v>0.78451764120501954</v>
      </c>
      <c r="AC37" s="5">
        <f t="shared" si="13"/>
        <v>0.21548235879498046</v>
      </c>
      <c r="AD37" s="5">
        <f t="shared" si="14"/>
        <v>6.0379710170536782E-2</v>
      </c>
      <c r="AF37" s="12">
        <f t="shared" si="15"/>
        <v>1</v>
      </c>
      <c r="AG37" s="12">
        <f t="shared" si="16"/>
        <v>0</v>
      </c>
    </row>
    <row r="38" spans="1:33" ht="27.6" x14ac:dyDescent="0.3">
      <c r="A38" s="2">
        <v>202208</v>
      </c>
      <c r="B38" s="6">
        <v>44776</v>
      </c>
      <c r="C38" s="3">
        <v>82</v>
      </c>
      <c r="D38" s="3">
        <v>141</v>
      </c>
      <c r="E38" s="3">
        <v>51</v>
      </c>
      <c r="F38" s="3">
        <v>19</v>
      </c>
      <c r="G38" s="3">
        <v>129</v>
      </c>
      <c r="H38" s="3">
        <v>24</v>
      </c>
      <c r="I38" s="3">
        <v>141</v>
      </c>
      <c r="J38" s="3" t="s">
        <v>19</v>
      </c>
      <c r="K38" s="3" t="s">
        <v>22</v>
      </c>
      <c r="L38" s="3" t="s">
        <v>21</v>
      </c>
      <c r="N38" s="1">
        <f t="shared" si="1"/>
        <v>0.94827586206896552</v>
      </c>
      <c r="O38" s="1">
        <f t="shared" si="2"/>
        <v>0.93333333333333335</v>
      </c>
      <c r="P38" s="1">
        <f t="shared" si="3"/>
        <v>0.5</v>
      </c>
      <c r="Q38" s="1">
        <f t="shared" si="4"/>
        <v>0.52631578947368418</v>
      </c>
      <c r="R38" s="1">
        <f t="shared" si="5"/>
        <v>0.68292682926829273</v>
      </c>
      <c r="S38" s="1">
        <f t="shared" si="6"/>
        <v>0.34375</v>
      </c>
      <c r="T38" s="1">
        <f t="shared" si="7"/>
        <v>3.9346018141442758</v>
      </c>
      <c r="V38" s="4">
        <f>Sheet1!AB38^2</f>
        <v>0.16478044576826553</v>
      </c>
      <c r="W38" s="5">
        <f>Sheet1!AC38^2</f>
        <v>0.35291729038241976</v>
      </c>
      <c r="X38" s="5">
        <f t="shared" si="8"/>
        <v>13.511996552997774</v>
      </c>
      <c r="Y38">
        <f t="shared" si="9"/>
        <v>0.33466294777643252</v>
      </c>
      <c r="Z38" s="5">
        <f t="shared" si="10"/>
        <v>0.73321693286630796</v>
      </c>
      <c r="AA38" s="5">
        <f t="shared" si="11"/>
        <v>2.8818996485775026</v>
      </c>
      <c r="AB38" s="5">
        <f t="shared" si="12"/>
        <v>0.79718027998602614</v>
      </c>
      <c r="AC38" s="5">
        <f t="shared" si="13"/>
        <v>0.20281972001397386</v>
      </c>
      <c r="AD38" s="5">
        <f t="shared" si="14"/>
        <v>0.15109558208293938</v>
      </c>
      <c r="AF38" s="12">
        <f t="shared" si="15"/>
        <v>1</v>
      </c>
      <c r="AG38" s="12">
        <f t="shared" si="16"/>
        <v>0</v>
      </c>
    </row>
    <row r="39" spans="1:33" ht="27.6" x14ac:dyDescent="0.3">
      <c r="A39" s="2">
        <v>202208</v>
      </c>
      <c r="B39" s="6">
        <v>44775</v>
      </c>
      <c r="C39" s="3">
        <v>67</v>
      </c>
      <c r="D39" s="3">
        <v>113</v>
      </c>
      <c r="E39" s="3">
        <v>50</v>
      </c>
      <c r="F39" s="3">
        <v>15</v>
      </c>
      <c r="G39" s="3">
        <v>84</v>
      </c>
      <c r="H39" s="3">
        <v>28</v>
      </c>
      <c r="I39" s="3">
        <v>113</v>
      </c>
      <c r="J39" s="3" t="s">
        <v>19</v>
      </c>
      <c r="K39" s="3" t="s">
        <v>22</v>
      </c>
      <c r="L39" s="3" t="s">
        <v>21</v>
      </c>
      <c r="N39" s="1">
        <f t="shared" si="1"/>
        <v>0.68965517241379315</v>
      </c>
      <c r="O39" s="1">
        <f t="shared" si="2"/>
        <v>0.66666666666666663</v>
      </c>
      <c r="P39" s="1">
        <f t="shared" si="3"/>
        <v>0.41666666666666669</v>
      </c>
      <c r="Q39" s="1">
        <f t="shared" si="4"/>
        <v>0.31578947368421051</v>
      </c>
      <c r="R39" s="1">
        <f t="shared" si="5"/>
        <v>0.40853658536585363</v>
      </c>
      <c r="S39" s="1">
        <f t="shared" si="6"/>
        <v>0.46875</v>
      </c>
      <c r="T39" s="1">
        <f t="shared" si="7"/>
        <v>2.9660645647971906</v>
      </c>
      <c r="V39" s="4">
        <f>Sheet1!AB39^2</f>
        <v>8.2749686609107045E-2</v>
      </c>
      <c r="W39" s="5">
        <f>Sheet1!AC39^2</f>
        <v>0.50742478150206383</v>
      </c>
      <c r="X39" s="5">
        <f t="shared" si="8"/>
        <v>5.5442290028101722</v>
      </c>
      <c r="Y39">
        <f t="shared" si="9"/>
        <v>0.34994812517383717</v>
      </c>
      <c r="Z39" s="5">
        <f t="shared" si="10"/>
        <v>0.18472734435870894</v>
      </c>
      <c r="AA39" s="5">
        <f t="shared" si="11"/>
        <v>1.5800315081647964</v>
      </c>
      <c r="AB39" s="5">
        <f t="shared" si="12"/>
        <v>0.89532431352047936</v>
      </c>
      <c r="AC39" s="5">
        <f t="shared" si="13"/>
        <v>0.10467568647952064</v>
      </c>
      <c r="AD39" s="5">
        <f t="shared" si="14"/>
        <v>0.20566914110668622</v>
      </c>
      <c r="AF39" s="12">
        <f t="shared" si="15"/>
        <v>1</v>
      </c>
      <c r="AG39" s="12">
        <f t="shared" si="16"/>
        <v>0</v>
      </c>
    </row>
    <row r="40" spans="1:33" ht="27.6" x14ac:dyDescent="0.3">
      <c r="A40" s="2">
        <v>202209</v>
      </c>
      <c r="B40" s="6">
        <v>44805</v>
      </c>
      <c r="C40" s="3">
        <v>83</v>
      </c>
      <c r="D40" s="3">
        <v>130</v>
      </c>
      <c r="E40" s="3">
        <v>51</v>
      </c>
      <c r="F40" s="3">
        <v>15</v>
      </c>
      <c r="G40" s="3">
        <v>42</v>
      </c>
      <c r="H40" s="3">
        <v>25</v>
      </c>
      <c r="I40" s="3">
        <v>130</v>
      </c>
      <c r="J40" s="3" t="s">
        <v>19</v>
      </c>
      <c r="K40" s="3" t="s">
        <v>22</v>
      </c>
      <c r="L40" s="3" t="s">
        <v>21</v>
      </c>
      <c r="N40" s="1">
        <f t="shared" si="1"/>
        <v>0.96551724137931039</v>
      </c>
      <c r="O40" s="1">
        <f t="shared" si="2"/>
        <v>0.82857142857142863</v>
      </c>
      <c r="P40" s="1">
        <f t="shared" si="3"/>
        <v>0.5</v>
      </c>
      <c r="Q40" s="1">
        <f t="shared" si="4"/>
        <v>0.31578947368421051</v>
      </c>
      <c r="R40" s="1">
        <f t="shared" si="5"/>
        <v>0.1524390243902439</v>
      </c>
      <c r="S40" s="1">
        <f t="shared" si="6"/>
        <v>0.375</v>
      </c>
      <c r="T40" s="1">
        <f t="shared" si="7"/>
        <v>3.1373171680251932</v>
      </c>
      <c r="V40" s="4">
        <f>Sheet1!AB40^2</f>
        <v>0.17808746334086842</v>
      </c>
      <c r="W40" s="5">
        <f>Sheet1!AC40^2</f>
        <v>0.33407925641188729</v>
      </c>
      <c r="X40" s="5">
        <f t="shared" si="8"/>
        <v>14.781259457292078</v>
      </c>
      <c r="Y40">
        <f t="shared" si="9"/>
        <v>0.32255928205285672</v>
      </c>
      <c r="Z40" s="5">
        <f t="shared" si="10"/>
        <v>0.40671340323533905</v>
      </c>
      <c r="AA40" s="5">
        <f t="shared" si="11"/>
        <v>2.1323398034924113</v>
      </c>
      <c r="AB40" s="5">
        <f t="shared" si="12"/>
        <v>0.83981690412880394</v>
      </c>
      <c r="AC40" s="5">
        <f t="shared" si="13"/>
        <v>0.16018309587119606</v>
      </c>
      <c r="AD40" s="5">
        <f t="shared" si="14"/>
        <v>0.12570033725050644</v>
      </c>
      <c r="AF40" s="12">
        <f t="shared" si="15"/>
        <v>1</v>
      </c>
      <c r="AG40" s="12">
        <f t="shared" si="16"/>
        <v>0</v>
      </c>
    </row>
    <row r="41" spans="1:33" ht="27.6" x14ac:dyDescent="0.3">
      <c r="A41" s="2">
        <v>202209</v>
      </c>
      <c r="B41" s="6">
        <v>44834</v>
      </c>
      <c r="C41" s="3">
        <v>71</v>
      </c>
      <c r="D41" s="3">
        <v>103</v>
      </c>
      <c r="E41" s="3">
        <v>51</v>
      </c>
      <c r="F41" s="3">
        <v>14</v>
      </c>
      <c r="G41" s="3">
        <v>45</v>
      </c>
      <c r="H41" s="3">
        <v>23</v>
      </c>
      <c r="I41" s="3">
        <v>103</v>
      </c>
      <c r="J41" s="3" t="s">
        <v>19</v>
      </c>
      <c r="K41" s="3" t="s">
        <v>22</v>
      </c>
      <c r="L41" s="3" t="s">
        <v>21</v>
      </c>
      <c r="N41" s="1">
        <f t="shared" si="1"/>
        <v>0.75862068965517238</v>
      </c>
      <c r="O41" s="1">
        <f t="shared" si="2"/>
        <v>0.5714285714285714</v>
      </c>
      <c r="P41" s="1">
        <f t="shared" si="3"/>
        <v>0.5</v>
      </c>
      <c r="Q41" s="1">
        <f t="shared" si="4"/>
        <v>0.26315789473684209</v>
      </c>
      <c r="R41" s="1">
        <f t="shared" si="5"/>
        <v>0.17073170731707318</v>
      </c>
      <c r="S41" s="1">
        <f t="shared" si="6"/>
        <v>0.3125</v>
      </c>
      <c r="T41" s="1">
        <f t="shared" si="7"/>
        <v>2.5764388631376591</v>
      </c>
      <c r="V41" s="4">
        <f>Sheet1!AB41^2</f>
        <v>0.1370428194962377</v>
      </c>
      <c r="W41" s="5">
        <f>Sheet1!AC41^2</f>
        <v>0.39665692147754178</v>
      </c>
      <c r="X41" s="5">
        <f t="shared" si="8"/>
        <v>9.7300401842328768</v>
      </c>
      <c r="Y41">
        <f t="shared" si="9"/>
        <v>0.30091214732779031</v>
      </c>
      <c r="Z41" s="5">
        <f t="shared" si="10"/>
        <v>0.19927206888259658</v>
      </c>
      <c r="AA41" s="5">
        <f t="shared" si="11"/>
        <v>1.3480936064635167</v>
      </c>
      <c r="AB41" s="5">
        <f t="shared" si="12"/>
        <v>0.87121850247969101</v>
      </c>
      <c r="AC41" s="5">
        <f t="shared" si="13"/>
        <v>0.12878149752030899</v>
      </c>
      <c r="AD41" s="5">
        <f t="shared" si="14"/>
        <v>0.11259781282451864</v>
      </c>
      <c r="AF41" s="12">
        <f t="shared" si="15"/>
        <v>1</v>
      </c>
      <c r="AG41" s="12">
        <f t="shared" si="16"/>
        <v>1</v>
      </c>
    </row>
    <row r="42" spans="1:33" x14ac:dyDescent="0.3">
      <c r="A42" s="2">
        <v>202209</v>
      </c>
      <c r="B42" s="6">
        <v>44833</v>
      </c>
      <c r="C42" s="3">
        <v>62</v>
      </c>
      <c r="D42" s="3">
        <v>100</v>
      </c>
      <c r="E42" s="3">
        <v>51</v>
      </c>
      <c r="F42" s="3">
        <v>14</v>
      </c>
      <c r="G42" s="3">
        <v>50</v>
      </c>
      <c r="H42" s="3">
        <v>21</v>
      </c>
      <c r="I42" s="3">
        <v>100</v>
      </c>
      <c r="J42" s="3" t="s">
        <v>19</v>
      </c>
      <c r="K42" s="3" t="s">
        <v>20</v>
      </c>
      <c r="L42" s="3" t="s">
        <v>21</v>
      </c>
      <c r="N42" s="1">
        <f t="shared" si="1"/>
        <v>0.60344827586206895</v>
      </c>
      <c r="O42" s="1">
        <f t="shared" si="2"/>
        <v>0.54285714285714282</v>
      </c>
      <c r="P42" s="1">
        <f t="shared" si="3"/>
        <v>0.5</v>
      </c>
      <c r="Q42" s="1">
        <f t="shared" si="4"/>
        <v>0.26315789473684209</v>
      </c>
      <c r="R42" s="1">
        <f t="shared" si="5"/>
        <v>0.20121951219512196</v>
      </c>
      <c r="S42" s="1">
        <f t="shared" si="6"/>
        <v>0.25</v>
      </c>
      <c r="T42" s="1">
        <f t="shared" si="7"/>
        <v>2.3606828256511756</v>
      </c>
      <c r="V42" s="4">
        <f>Sheet1!AB42^2</f>
        <v>0.13965312431300039</v>
      </c>
      <c r="W42" s="5">
        <f>Sheet1!AC42^2</f>
        <v>0.39224928618263499</v>
      </c>
      <c r="X42" s="5">
        <f t="shared" si="8"/>
        <v>8.6584937074060235</v>
      </c>
      <c r="Y42">
        <f t="shared" si="9"/>
        <v>0.23670215545503837</v>
      </c>
      <c r="Z42" s="5">
        <f t="shared" si="10"/>
        <v>0.19842934788941163</v>
      </c>
      <c r="AA42" s="5">
        <f t="shared" si="11"/>
        <v>1.0810850688422937</v>
      </c>
      <c r="AB42" s="5">
        <f t="shared" si="12"/>
        <v>0.84491823984581238</v>
      </c>
      <c r="AC42" s="5">
        <f t="shared" si="13"/>
        <v>0.15508176015418762</v>
      </c>
      <c r="AD42" s="5">
        <f t="shared" si="14"/>
        <v>0.24146996398374343</v>
      </c>
      <c r="AF42" s="12">
        <f t="shared" si="15"/>
        <v>1</v>
      </c>
      <c r="AG42" s="12">
        <f t="shared" si="16"/>
        <v>1</v>
      </c>
    </row>
    <row r="43" spans="1:33" x14ac:dyDescent="0.3">
      <c r="A43" s="2">
        <v>202209</v>
      </c>
      <c r="B43" s="6">
        <v>44832</v>
      </c>
      <c r="C43" s="3">
        <v>62</v>
      </c>
      <c r="D43" s="3">
        <v>92</v>
      </c>
      <c r="E43" s="3">
        <v>51</v>
      </c>
      <c r="F43" s="3">
        <v>13</v>
      </c>
      <c r="G43" s="3">
        <v>55</v>
      </c>
      <c r="H43" s="3">
        <v>24</v>
      </c>
      <c r="I43" s="3">
        <v>92</v>
      </c>
      <c r="J43" s="3" t="s">
        <v>19</v>
      </c>
      <c r="K43" s="3" t="s">
        <v>20</v>
      </c>
      <c r="L43" s="3" t="s">
        <v>21</v>
      </c>
      <c r="N43" s="1">
        <f t="shared" si="1"/>
        <v>0.60344827586206895</v>
      </c>
      <c r="O43" s="1">
        <f t="shared" si="2"/>
        <v>0.46666666666666667</v>
      </c>
      <c r="P43" s="1">
        <f t="shared" si="3"/>
        <v>0.5</v>
      </c>
      <c r="Q43" s="1">
        <f t="shared" si="4"/>
        <v>0.21052631578947367</v>
      </c>
      <c r="R43" s="1">
        <f t="shared" si="5"/>
        <v>0.23170731707317074</v>
      </c>
      <c r="S43" s="1">
        <f t="shared" si="6"/>
        <v>0.34375</v>
      </c>
      <c r="T43" s="1">
        <f t="shared" si="7"/>
        <v>2.3560985753913801</v>
      </c>
      <c r="V43" s="4">
        <f>Sheet1!AB43^2</f>
        <v>0.15733512212771053</v>
      </c>
      <c r="W43" s="5">
        <f>Sheet1!AC43^2</f>
        <v>0.36402529078131768</v>
      </c>
      <c r="X43" s="5">
        <f t="shared" si="8"/>
        <v>9.7547775719180532</v>
      </c>
      <c r="Y43">
        <f t="shared" si="9"/>
        <v>0.21967043409217446</v>
      </c>
      <c r="Z43" s="5">
        <f t="shared" si="10"/>
        <v>0.15870598147510384</v>
      </c>
      <c r="AA43" s="5">
        <f t="shared" si="11"/>
        <v>1.0481012723438177</v>
      </c>
      <c r="AB43" s="5">
        <f t="shared" si="12"/>
        <v>0.8684910278978839</v>
      </c>
      <c r="AC43" s="5">
        <f t="shared" si="13"/>
        <v>0.1315089721021161</v>
      </c>
      <c r="AD43" s="5">
        <f t="shared" si="14"/>
        <v>0.26504275203581495</v>
      </c>
      <c r="AF43" s="12">
        <f t="shared" si="15"/>
        <v>1</v>
      </c>
      <c r="AG43" s="12">
        <f t="shared" si="16"/>
        <v>1</v>
      </c>
    </row>
    <row r="44" spans="1:33" x14ac:dyDescent="0.3">
      <c r="A44" s="2">
        <v>202209</v>
      </c>
      <c r="B44" s="6">
        <v>44831</v>
      </c>
      <c r="C44" s="3">
        <v>63</v>
      </c>
      <c r="D44" s="3">
        <v>86</v>
      </c>
      <c r="E44" s="3">
        <v>51</v>
      </c>
      <c r="F44" s="3">
        <v>14</v>
      </c>
      <c r="G44" s="3">
        <v>58</v>
      </c>
      <c r="H44" s="3">
        <v>26</v>
      </c>
      <c r="I44" s="3">
        <v>86</v>
      </c>
      <c r="J44" s="3" t="s">
        <v>19</v>
      </c>
      <c r="K44" s="3" t="s">
        <v>20</v>
      </c>
      <c r="L44" s="3" t="s">
        <v>21</v>
      </c>
      <c r="N44" s="1">
        <f t="shared" si="1"/>
        <v>0.62068965517241381</v>
      </c>
      <c r="O44" s="1">
        <f t="shared" si="2"/>
        <v>0.40952380952380951</v>
      </c>
      <c r="P44" s="1">
        <f t="shared" si="3"/>
        <v>0.5</v>
      </c>
      <c r="Q44" s="1">
        <f t="shared" si="4"/>
        <v>0.26315789473684209</v>
      </c>
      <c r="R44" s="1">
        <f t="shared" si="5"/>
        <v>0.25</v>
      </c>
      <c r="S44" s="1">
        <f t="shared" si="6"/>
        <v>0.40625</v>
      </c>
      <c r="T44" s="1">
        <f t="shared" si="7"/>
        <v>2.4496213594330651</v>
      </c>
      <c r="V44" s="4">
        <f>Sheet1!AB44^2</f>
        <v>0.16818092747821436</v>
      </c>
      <c r="W44" s="5">
        <f>Sheet1!AC44^2</f>
        <v>0.34798356713568224</v>
      </c>
      <c r="X44" s="5">
        <f t="shared" si="8"/>
        <v>10.595398431127505</v>
      </c>
      <c r="Y44">
        <f t="shared" si="9"/>
        <v>0.21598980029111312</v>
      </c>
      <c r="Z44" s="5">
        <f t="shared" si="10"/>
        <v>0.1050662335998262</v>
      </c>
      <c r="AA44" s="5">
        <f t="shared" si="11"/>
        <v>1.0997565386672703</v>
      </c>
      <c r="AB44" s="5">
        <f t="shared" si="12"/>
        <v>0.91279527909144287</v>
      </c>
      <c r="AC44" s="5">
        <f t="shared" si="13"/>
        <v>8.7204720908557132E-2</v>
      </c>
      <c r="AD44" s="5">
        <f t="shared" si="14"/>
        <v>0.29210562391902906</v>
      </c>
      <c r="AF44" s="12">
        <f t="shared" si="15"/>
        <v>1</v>
      </c>
      <c r="AG44" s="12">
        <f t="shared" si="16"/>
        <v>1</v>
      </c>
    </row>
    <row r="45" spans="1:33" x14ac:dyDescent="0.3">
      <c r="A45" s="2">
        <v>202209</v>
      </c>
      <c r="B45" s="6">
        <v>44830</v>
      </c>
      <c r="C45" s="3">
        <v>57</v>
      </c>
      <c r="D45" s="3">
        <v>79</v>
      </c>
      <c r="E45" s="3">
        <v>51</v>
      </c>
      <c r="F45" s="3">
        <v>14</v>
      </c>
      <c r="G45" s="3">
        <v>56</v>
      </c>
      <c r="H45" s="3">
        <v>26</v>
      </c>
      <c r="I45" s="3">
        <v>79</v>
      </c>
      <c r="J45" s="3" t="s">
        <v>19</v>
      </c>
      <c r="K45" s="3" t="s">
        <v>20</v>
      </c>
      <c r="L45" s="3" t="s">
        <v>24</v>
      </c>
      <c r="N45" s="1">
        <f t="shared" si="1"/>
        <v>0.51724137931034486</v>
      </c>
      <c r="O45" s="1">
        <f t="shared" si="2"/>
        <v>0.34285714285714286</v>
      </c>
      <c r="P45" s="1">
        <f t="shared" si="3"/>
        <v>0.5</v>
      </c>
      <c r="Q45" s="1">
        <f t="shared" si="4"/>
        <v>0.26315789473684209</v>
      </c>
      <c r="R45" s="1">
        <f t="shared" si="5"/>
        <v>0.23780487804878048</v>
      </c>
      <c r="S45" s="1">
        <f t="shared" si="6"/>
        <v>0.40625</v>
      </c>
      <c r="T45" s="1">
        <f t="shared" si="7"/>
        <v>2.2673112949531102</v>
      </c>
      <c r="V45" s="4">
        <f>Sheet1!AB45^2</f>
        <v>0.25640010188413542</v>
      </c>
      <c r="W45" s="5">
        <f>Sheet1!AC45^2</f>
        <v>0.24368078858131226</v>
      </c>
      <c r="X45" s="5">
        <f t="shared" si="8"/>
        <v>14.614805807395719</v>
      </c>
      <c r="Y45">
        <f t="shared" si="9"/>
        <v>0.1260417871972305</v>
      </c>
      <c r="Z45" s="5">
        <f t="shared" si="10"/>
        <v>0.1099158351282809</v>
      </c>
      <c r="AA45" s="5">
        <f t="shared" si="11"/>
        <v>0.92593196496515362</v>
      </c>
      <c r="AB45" s="5">
        <f t="shared" si="12"/>
        <v>0.89388804502131836</v>
      </c>
      <c r="AC45" s="5">
        <f t="shared" si="13"/>
        <v>0.10611195497868164</v>
      </c>
      <c r="AD45" s="5">
        <f t="shared" si="14"/>
        <v>0.37664666571097349</v>
      </c>
      <c r="AF45" s="12">
        <f t="shared" si="15"/>
        <v>1</v>
      </c>
      <c r="AG45" s="12">
        <f t="shared" si="16"/>
        <v>1</v>
      </c>
    </row>
    <row r="46" spans="1:33" x14ac:dyDescent="0.3">
      <c r="A46" s="2">
        <v>202209</v>
      </c>
      <c r="B46" s="6">
        <v>44829</v>
      </c>
      <c r="C46" s="3">
        <v>58</v>
      </c>
      <c r="D46" s="3">
        <v>94</v>
      </c>
      <c r="E46" s="3">
        <v>50</v>
      </c>
      <c r="F46" s="3">
        <v>14</v>
      </c>
      <c r="G46" s="3">
        <v>48</v>
      </c>
      <c r="H46" s="3">
        <v>25</v>
      </c>
      <c r="I46" s="3">
        <v>94</v>
      </c>
      <c r="J46" s="3" t="s">
        <v>19</v>
      </c>
      <c r="K46" s="3" t="s">
        <v>20</v>
      </c>
      <c r="L46" s="3" t="s">
        <v>21</v>
      </c>
      <c r="N46" s="1">
        <f t="shared" si="1"/>
        <v>0.53448275862068961</v>
      </c>
      <c r="O46" s="1">
        <f t="shared" si="2"/>
        <v>0.48571428571428571</v>
      </c>
      <c r="P46" s="1">
        <f t="shared" si="3"/>
        <v>0.41666666666666669</v>
      </c>
      <c r="Q46" s="1">
        <f t="shared" si="4"/>
        <v>0.26315789473684209</v>
      </c>
      <c r="R46" s="1">
        <f t="shared" si="5"/>
        <v>0.18902439024390244</v>
      </c>
      <c r="S46" s="1">
        <f t="shared" si="6"/>
        <v>0.375</v>
      </c>
      <c r="T46" s="1">
        <f t="shared" si="7"/>
        <v>2.2640459959823866</v>
      </c>
      <c r="V46" s="4">
        <f>Sheet1!AB46^2</f>
        <v>0.18500240306392352</v>
      </c>
      <c r="W46" s="5">
        <f>Sheet1!AC46^2</f>
        <v>0.32476428936766677</v>
      </c>
      <c r="X46" s="5">
        <f t="shared" si="8"/>
        <v>10.730139377707564</v>
      </c>
      <c r="Y46">
        <f t="shared" si="9"/>
        <v>0.17358091328271844</v>
      </c>
      <c r="Z46" s="5">
        <f t="shared" si="10"/>
        <v>0.11772641229210254</v>
      </c>
      <c r="AA46" s="5">
        <f t="shared" si="11"/>
        <v>0.94080859539023831</v>
      </c>
      <c r="AB46" s="5">
        <f t="shared" si="12"/>
        <v>0.88878363829471807</v>
      </c>
      <c r="AC46" s="5">
        <f t="shared" si="13"/>
        <v>0.11121636170528193</v>
      </c>
      <c r="AD46" s="5">
        <f t="shared" si="14"/>
        <v>0.35430087967402846</v>
      </c>
      <c r="AF46" s="12">
        <f t="shared" si="15"/>
        <v>1</v>
      </c>
      <c r="AG46" s="12">
        <f t="shared" si="16"/>
        <v>1</v>
      </c>
    </row>
    <row r="47" spans="1:33" x14ac:dyDescent="0.3">
      <c r="A47" s="2">
        <v>202209</v>
      </c>
      <c r="B47" s="6">
        <v>44828</v>
      </c>
      <c r="C47" s="3">
        <v>57</v>
      </c>
      <c r="D47" s="3">
        <v>83</v>
      </c>
      <c r="E47" s="3">
        <v>50</v>
      </c>
      <c r="F47" s="3">
        <v>17</v>
      </c>
      <c r="G47" s="3">
        <v>39</v>
      </c>
      <c r="H47" s="3">
        <v>33</v>
      </c>
      <c r="I47" s="3">
        <v>83</v>
      </c>
      <c r="J47" s="3" t="s">
        <v>19</v>
      </c>
      <c r="K47" s="3" t="s">
        <v>20</v>
      </c>
      <c r="L47" s="3" t="s">
        <v>21</v>
      </c>
      <c r="N47" s="1">
        <f t="shared" si="1"/>
        <v>0.51724137931034486</v>
      </c>
      <c r="O47" s="1">
        <f t="shared" si="2"/>
        <v>0.38095238095238093</v>
      </c>
      <c r="P47" s="1">
        <f t="shared" si="3"/>
        <v>0.41666666666666669</v>
      </c>
      <c r="Q47" s="1">
        <f t="shared" si="4"/>
        <v>0.42105263157894735</v>
      </c>
      <c r="R47" s="1">
        <f t="shared" si="5"/>
        <v>0.13414634146341464</v>
      </c>
      <c r="S47" s="1">
        <f t="shared" si="6"/>
        <v>0.625</v>
      </c>
      <c r="T47" s="1">
        <f t="shared" si="7"/>
        <v>2.4950593999717543</v>
      </c>
      <c r="V47" s="4">
        <f>Sheet1!AB47^2</f>
        <v>0.6466856088387043</v>
      </c>
      <c r="W47" s="5">
        <f>Sheet1!AC47^2</f>
        <v>3.8350309420446441E-2</v>
      </c>
      <c r="X47" s="5">
        <f t="shared" si="8"/>
        <v>36.861079703806148</v>
      </c>
      <c r="Y47">
        <f t="shared" si="9"/>
        <v>1.9836366941610228E-2</v>
      </c>
      <c r="Z47" s="5">
        <f t="shared" si="10"/>
        <v>1.6285336926161579E-2</v>
      </c>
      <c r="AA47" s="5">
        <f t="shared" si="11"/>
        <v>1.172180031622843</v>
      </c>
      <c r="AB47" s="5">
        <f t="shared" si="12"/>
        <v>0.98629717166597441</v>
      </c>
      <c r="AC47" s="5">
        <f t="shared" si="13"/>
        <v>1.3702828334025585E-2</v>
      </c>
      <c r="AD47" s="5">
        <f t="shared" si="14"/>
        <v>0.46905579235562955</v>
      </c>
      <c r="AF47" s="12">
        <f t="shared" si="15"/>
        <v>1</v>
      </c>
      <c r="AG47" s="12">
        <f t="shared" si="16"/>
        <v>1</v>
      </c>
    </row>
    <row r="48" spans="1:33" x14ac:dyDescent="0.3">
      <c r="A48" s="2">
        <v>202209</v>
      </c>
      <c r="B48" s="6">
        <v>44827</v>
      </c>
      <c r="C48" s="3">
        <v>73</v>
      </c>
      <c r="D48" s="3">
        <v>97</v>
      </c>
      <c r="E48" s="3">
        <v>50</v>
      </c>
      <c r="F48" s="3">
        <v>24</v>
      </c>
      <c r="G48" s="3">
        <v>50</v>
      </c>
      <c r="H48" s="3">
        <v>45</v>
      </c>
      <c r="I48" s="3">
        <v>97</v>
      </c>
      <c r="J48" s="3" t="s">
        <v>19</v>
      </c>
      <c r="K48" s="3" t="s">
        <v>20</v>
      </c>
      <c r="L48" s="3" t="s">
        <v>23</v>
      </c>
      <c r="N48" s="1">
        <f t="shared" si="1"/>
        <v>0.7931034482758621</v>
      </c>
      <c r="O48" s="1">
        <f t="shared" si="2"/>
        <v>0.51428571428571423</v>
      </c>
      <c r="P48" s="1">
        <f t="shared" si="3"/>
        <v>0.41666666666666669</v>
      </c>
      <c r="Q48" s="1">
        <f t="shared" si="4"/>
        <v>0.78947368421052633</v>
      </c>
      <c r="R48" s="1">
        <f t="shared" si="5"/>
        <v>0.20121951219512196</v>
      </c>
      <c r="S48" s="1">
        <f t="shared" si="6"/>
        <v>1</v>
      </c>
      <c r="T48" s="1">
        <f t="shared" si="7"/>
        <v>3.7147490256338913</v>
      </c>
      <c r="V48" s="4">
        <f>Sheet1!AB48^2</f>
        <v>0.31763122332015947</v>
      </c>
      <c r="W48" s="5">
        <f>Sheet1!AC48^2</f>
        <v>0.19045559668487869</v>
      </c>
      <c r="X48" s="5">
        <f t="shared" si="8"/>
        <v>23.187079302371643</v>
      </c>
      <c r="Y48">
        <f t="shared" si="9"/>
        <v>0.15105099047421414</v>
      </c>
      <c r="Z48" s="5">
        <f t="shared" si="10"/>
        <v>0.30263820936839858</v>
      </c>
      <c r="AA48" s="5">
        <f t="shared" si="11"/>
        <v>2.7308719768455263</v>
      </c>
      <c r="AB48" s="5">
        <f t="shared" si="12"/>
        <v>0.9002349783614485</v>
      </c>
      <c r="AC48" s="5">
        <f t="shared" si="13"/>
        <v>9.9765021638551499E-2</v>
      </c>
      <c r="AD48" s="5">
        <f t="shared" si="14"/>
        <v>0.1071315300855864</v>
      </c>
      <c r="AF48" s="12">
        <f t="shared" si="15"/>
        <v>1</v>
      </c>
      <c r="AG48" s="12">
        <f t="shared" si="16"/>
        <v>1</v>
      </c>
    </row>
    <row r="49" spans="1:33" x14ac:dyDescent="0.3">
      <c r="A49" s="2">
        <v>202209</v>
      </c>
      <c r="B49" s="6">
        <v>44826</v>
      </c>
      <c r="C49" s="3">
        <v>63</v>
      </c>
      <c r="D49" s="3">
        <v>90</v>
      </c>
      <c r="E49" s="3">
        <v>50</v>
      </c>
      <c r="F49" s="3">
        <v>16</v>
      </c>
      <c r="G49" s="3">
        <v>37</v>
      </c>
      <c r="H49" s="3">
        <v>24</v>
      </c>
      <c r="I49" s="3">
        <v>90</v>
      </c>
      <c r="J49" s="3" t="s">
        <v>19</v>
      </c>
      <c r="K49" s="3" t="s">
        <v>20</v>
      </c>
      <c r="L49" s="3" t="s">
        <v>24</v>
      </c>
      <c r="N49" s="1">
        <f t="shared" si="1"/>
        <v>0.62068965517241381</v>
      </c>
      <c r="O49" s="1">
        <f t="shared" si="2"/>
        <v>0.44761904761904764</v>
      </c>
      <c r="P49" s="1">
        <f t="shared" si="3"/>
        <v>0.41666666666666669</v>
      </c>
      <c r="Q49" s="1">
        <f t="shared" si="4"/>
        <v>0.36842105263157893</v>
      </c>
      <c r="R49" s="1">
        <f t="shared" si="5"/>
        <v>0.12195121951219512</v>
      </c>
      <c r="S49" s="1">
        <f t="shared" si="6"/>
        <v>0.34375</v>
      </c>
      <c r="T49" s="1">
        <f t="shared" si="7"/>
        <v>2.3190976416019025</v>
      </c>
      <c r="V49" s="4">
        <f>Sheet1!AB49^2</f>
        <v>0.20046498259105208</v>
      </c>
      <c r="W49" s="5">
        <f>Sheet1!AC49^2</f>
        <v>0.30499866252970637</v>
      </c>
      <c r="X49" s="5">
        <f t="shared" si="8"/>
        <v>12.629293903236281</v>
      </c>
      <c r="Y49">
        <f t="shared" si="9"/>
        <v>0.18930951467361085</v>
      </c>
      <c r="Z49" s="5">
        <f t="shared" si="10"/>
        <v>9.5599425280228745E-2</v>
      </c>
      <c r="AA49" s="5">
        <f t="shared" si="11"/>
        <v>1.0279998054032167</v>
      </c>
      <c r="AB49" s="5">
        <f t="shared" si="12"/>
        <v>0.91491679357765399</v>
      </c>
      <c r="AC49" s="5">
        <f t="shared" si="13"/>
        <v>8.5083206422346014E-2</v>
      </c>
      <c r="AD49" s="5">
        <f t="shared" si="14"/>
        <v>0.29422713840524017</v>
      </c>
      <c r="AF49" s="12">
        <f t="shared" si="15"/>
        <v>1</v>
      </c>
      <c r="AG49" s="12">
        <f t="shared" si="16"/>
        <v>0</v>
      </c>
    </row>
    <row r="50" spans="1:33" ht="27.6" x14ac:dyDescent="0.3">
      <c r="A50" s="2">
        <v>202209</v>
      </c>
      <c r="B50" s="6">
        <v>44825</v>
      </c>
      <c r="C50" s="3">
        <v>69</v>
      </c>
      <c r="D50" s="3">
        <v>112</v>
      </c>
      <c r="E50" s="3">
        <v>50</v>
      </c>
      <c r="F50" s="3">
        <v>17</v>
      </c>
      <c r="G50" s="3">
        <v>42</v>
      </c>
      <c r="H50" s="3">
        <v>32</v>
      </c>
      <c r="I50" s="3">
        <v>112</v>
      </c>
      <c r="J50" s="3" t="s">
        <v>19</v>
      </c>
      <c r="K50" s="3" t="s">
        <v>22</v>
      </c>
      <c r="L50" s="3" t="s">
        <v>21</v>
      </c>
      <c r="N50" s="1">
        <f t="shared" si="1"/>
        <v>0.72413793103448276</v>
      </c>
      <c r="O50" s="1">
        <f t="shared" si="2"/>
        <v>0.65714285714285714</v>
      </c>
      <c r="P50" s="1">
        <f t="shared" si="3"/>
        <v>0.41666666666666669</v>
      </c>
      <c r="Q50" s="1">
        <f t="shared" si="4"/>
        <v>0.42105263157894735</v>
      </c>
      <c r="R50" s="1">
        <f t="shared" si="5"/>
        <v>0.1524390243902439</v>
      </c>
      <c r="S50" s="1">
        <f t="shared" si="6"/>
        <v>0.59375</v>
      </c>
      <c r="T50" s="1">
        <f t="shared" si="7"/>
        <v>2.9651891108131978</v>
      </c>
      <c r="V50" s="4">
        <f>Sheet1!AB50^2</f>
        <v>0.25718465883099761</v>
      </c>
      <c r="W50" s="5">
        <f>Sheet1!AC50^2</f>
        <v>0.24291712246596611</v>
      </c>
      <c r="X50" s="5">
        <f t="shared" si="8"/>
        <v>17.745741459338834</v>
      </c>
      <c r="Y50">
        <f t="shared" si="9"/>
        <v>0.17590550247535477</v>
      </c>
      <c r="Z50" s="5">
        <f t="shared" si="10"/>
        <v>8.7603607922324536E-2</v>
      </c>
      <c r="AA50" s="5">
        <f t="shared" si="11"/>
        <v>1.6828856261844962</v>
      </c>
      <c r="AB50" s="5">
        <f t="shared" si="12"/>
        <v>0.95052011261366465</v>
      </c>
      <c r="AC50" s="5">
        <f t="shared" si="13"/>
        <v>4.9479887386335353E-2</v>
      </c>
      <c r="AD50" s="5">
        <f t="shared" si="14"/>
        <v>0.22638218157918188</v>
      </c>
      <c r="AF50" s="12">
        <f t="shared" si="15"/>
        <v>1</v>
      </c>
      <c r="AG50" s="12">
        <f t="shared" si="16"/>
        <v>0</v>
      </c>
    </row>
    <row r="51" spans="1:33" ht="27.6" x14ac:dyDescent="0.3">
      <c r="A51" s="2">
        <v>202209</v>
      </c>
      <c r="B51" s="6">
        <v>44824</v>
      </c>
      <c r="C51" s="3">
        <v>66</v>
      </c>
      <c r="D51" s="3">
        <v>110</v>
      </c>
      <c r="E51" s="3">
        <v>51</v>
      </c>
      <c r="F51" s="3">
        <v>21</v>
      </c>
      <c r="G51" s="3">
        <v>37</v>
      </c>
      <c r="H51" s="3">
        <v>41</v>
      </c>
      <c r="I51" s="3">
        <v>110</v>
      </c>
      <c r="J51" s="3" t="s">
        <v>19</v>
      </c>
      <c r="K51" s="3" t="s">
        <v>22</v>
      </c>
      <c r="L51" s="3" t="s">
        <v>21</v>
      </c>
      <c r="N51" s="1">
        <f t="shared" si="1"/>
        <v>0.67241379310344829</v>
      </c>
      <c r="O51" s="1">
        <f t="shared" si="2"/>
        <v>0.63809523809523805</v>
      </c>
      <c r="P51" s="1">
        <f t="shared" si="3"/>
        <v>0.5</v>
      </c>
      <c r="Q51" s="1">
        <f t="shared" si="4"/>
        <v>0.63157894736842102</v>
      </c>
      <c r="R51" s="1">
        <f t="shared" si="5"/>
        <v>0.12195121951219512</v>
      </c>
      <c r="S51" s="1">
        <f t="shared" si="6"/>
        <v>0.875</v>
      </c>
      <c r="T51" s="1">
        <f t="shared" si="7"/>
        <v>3.4390391980793025</v>
      </c>
      <c r="V51" s="4">
        <f>Sheet1!AB51^2</f>
        <v>0.36280383164010294</v>
      </c>
      <c r="W51" s="5">
        <f>Sheet1!AC51^2</f>
        <v>0.15813984257078087</v>
      </c>
      <c r="X51" s="5">
        <f t="shared" si="8"/>
        <v>23.945052888246792</v>
      </c>
      <c r="Y51">
        <f t="shared" si="9"/>
        <v>0.10633541138380093</v>
      </c>
      <c r="Z51" s="5">
        <f t="shared" si="10"/>
        <v>0.1479031920640872</v>
      </c>
      <c r="AA51" s="5">
        <f t="shared" si="11"/>
        <v>2.2886949087351001</v>
      </c>
      <c r="AB51" s="5">
        <f t="shared" si="12"/>
        <v>0.9392993074994288</v>
      </c>
      <c r="AC51" s="5">
        <f t="shared" si="13"/>
        <v>6.0700692500571196E-2</v>
      </c>
      <c r="AD51" s="5">
        <f t="shared" si="14"/>
        <v>0.26688551439598052</v>
      </c>
      <c r="AF51" s="12">
        <f t="shared" si="15"/>
        <v>1</v>
      </c>
      <c r="AG51" s="12">
        <f t="shared" si="16"/>
        <v>0</v>
      </c>
    </row>
    <row r="52" spans="1:33" ht="27.6" x14ac:dyDescent="0.3">
      <c r="A52" s="2">
        <v>202209</v>
      </c>
      <c r="B52" s="6">
        <v>44823</v>
      </c>
      <c r="C52" s="3">
        <v>70</v>
      </c>
      <c r="D52" s="3">
        <v>113</v>
      </c>
      <c r="E52" s="3">
        <v>51</v>
      </c>
      <c r="F52" s="3">
        <v>17</v>
      </c>
      <c r="G52" s="3">
        <v>46</v>
      </c>
      <c r="H52" s="3">
        <v>28</v>
      </c>
      <c r="I52" s="3">
        <v>113</v>
      </c>
      <c r="J52" s="3" t="s">
        <v>19</v>
      </c>
      <c r="K52" s="3" t="s">
        <v>22</v>
      </c>
      <c r="L52" s="3" t="s">
        <v>21</v>
      </c>
      <c r="N52" s="1">
        <f t="shared" si="1"/>
        <v>0.74137931034482762</v>
      </c>
      <c r="O52" s="1">
        <f t="shared" si="2"/>
        <v>0.66666666666666663</v>
      </c>
      <c r="P52" s="1">
        <f t="shared" si="3"/>
        <v>0.5</v>
      </c>
      <c r="Q52" s="1">
        <f t="shared" si="4"/>
        <v>0.42105263157894735</v>
      </c>
      <c r="R52" s="1">
        <f t="shared" si="5"/>
        <v>0.17682926829268292</v>
      </c>
      <c r="S52" s="1">
        <f t="shared" si="6"/>
        <v>0.46875</v>
      </c>
      <c r="T52" s="1">
        <f t="shared" si="7"/>
        <v>2.9746778768831246</v>
      </c>
      <c r="V52" s="4">
        <f>Sheet1!AB52^2</f>
        <v>0.16269766979595238</v>
      </c>
      <c r="W52" s="5">
        <f>Sheet1!AC52^2</f>
        <v>0.35598168558353493</v>
      </c>
      <c r="X52" s="5">
        <f t="shared" si="8"/>
        <v>11.388836885716666</v>
      </c>
      <c r="Y52">
        <f t="shared" si="9"/>
        <v>0.26391745655331039</v>
      </c>
      <c r="Z52" s="5">
        <f t="shared" si="10"/>
        <v>0.11279810869520479</v>
      </c>
      <c r="AA52" s="5">
        <f t="shared" si="11"/>
        <v>1.6723681974362989</v>
      </c>
      <c r="AB52" s="5">
        <f t="shared" si="12"/>
        <v>0.9368136692319492</v>
      </c>
      <c r="AC52" s="5">
        <f t="shared" si="13"/>
        <v>6.3186330768050802E-2</v>
      </c>
      <c r="AD52" s="5">
        <f t="shared" si="14"/>
        <v>0.19543435888712157</v>
      </c>
      <c r="AF52" s="12">
        <f t="shared" si="15"/>
        <v>1</v>
      </c>
      <c r="AG52" s="12">
        <f t="shared" si="16"/>
        <v>0</v>
      </c>
    </row>
    <row r="53" spans="1:33" ht="27.6" x14ac:dyDescent="0.3">
      <c r="A53" s="2">
        <v>202209</v>
      </c>
      <c r="B53" s="6">
        <v>44822</v>
      </c>
      <c r="C53" s="3">
        <v>72</v>
      </c>
      <c r="D53" s="3">
        <v>113</v>
      </c>
      <c r="E53" s="3">
        <v>51</v>
      </c>
      <c r="F53" s="3">
        <v>21</v>
      </c>
      <c r="G53" s="3">
        <v>43</v>
      </c>
      <c r="H53" s="3">
        <v>33</v>
      </c>
      <c r="I53" s="3">
        <v>113</v>
      </c>
      <c r="J53" s="3" t="s">
        <v>19</v>
      </c>
      <c r="K53" s="3" t="s">
        <v>22</v>
      </c>
      <c r="L53" s="3" t="s">
        <v>21</v>
      </c>
      <c r="N53" s="1">
        <f t="shared" si="1"/>
        <v>0.77586206896551724</v>
      </c>
      <c r="O53" s="1">
        <f t="shared" si="2"/>
        <v>0.66666666666666663</v>
      </c>
      <c r="P53" s="1">
        <f t="shared" si="3"/>
        <v>0.5</v>
      </c>
      <c r="Q53" s="1">
        <f t="shared" si="4"/>
        <v>0.63157894736842102</v>
      </c>
      <c r="R53" s="1">
        <f t="shared" si="5"/>
        <v>0.15853658536585366</v>
      </c>
      <c r="S53" s="1">
        <f t="shared" si="6"/>
        <v>0.625</v>
      </c>
      <c r="T53" s="1">
        <f t="shared" si="7"/>
        <v>3.3576442683664589</v>
      </c>
      <c r="V53" s="4">
        <f>Sheet1!AB53^2</f>
        <v>0.28684549089065886</v>
      </c>
      <c r="W53" s="5">
        <f>Sheet1!AC53^2</f>
        <v>0.2156863227169297</v>
      </c>
      <c r="X53" s="5">
        <f t="shared" si="8"/>
        <v>20.652875344127438</v>
      </c>
      <c r="Y53">
        <f t="shared" si="9"/>
        <v>0.16734283659072133</v>
      </c>
      <c r="Z53" s="5">
        <f t="shared" si="10"/>
        <v>0.11928670731263352</v>
      </c>
      <c r="AA53" s="5">
        <f t="shared" si="11"/>
        <v>2.1110572101623646</v>
      </c>
      <c r="AB53" s="5">
        <f t="shared" si="12"/>
        <v>0.94651645139657226</v>
      </c>
      <c r="AC53" s="5">
        <f t="shared" si="13"/>
        <v>5.3483548603427744E-2</v>
      </c>
      <c r="AD53" s="5">
        <f t="shared" si="14"/>
        <v>0.17065438243105502</v>
      </c>
      <c r="AF53" s="12">
        <f t="shared" si="15"/>
        <v>1</v>
      </c>
      <c r="AG53" s="12">
        <f t="shared" si="16"/>
        <v>0</v>
      </c>
    </row>
    <row r="54" spans="1:33" ht="27.6" x14ac:dyDescent="0.3">
      <c r="A54" s="2">
        <v>202209</v>
      </c>
      <c r="B54" s="6">
        <v>44821</v>
      </c>
      <c r="C54" s="3">
        <v>70</v>
      </c>
      <c r="D54" s="3">
        <v>103</v>
      </c>
      <c r="E54" s="3">
        <v>51</v>
      </c>
      <c r="F54" s="3">
        <v>19</v>
      </c>
      <c r="G54" s="3">
        <v>49</v>
      </c>
      <c r="H54" s="3">
        <v>35</v>
      </c>
      <c r="I54" s="3">
        <v>103</v>
      </c>
      <c r="J54" s="3" t="s">
        <v>19</v>
      </c>
      <c r="K54" s="3" t="s">
        <v>22</v>
      </c>
      <c r="L54" s="3" t="s">
        <v>21</v>
      </c>
      <c r="N54" s="1">
        <f t="shared" si="1"/>
        <v>0.74137931034482762</v>
      </c>
      <c r="O54" s="1">
        <f t="shared" si="2"/>
        <v>0.5714285714285714</v>
      </c>
      <c r="P54" s="1">
        <f t="shared" si="3"/>
        <v>0.5</v>
      </c>
      <c r="Q54" s="1">
        <f t="shared" si="4"/>
        <v>0.52631578947368418</v>
      </c>
      <c r="R54" s="1">
        <f t="shared" si="5"/>
        <v>0.1951219512195122</v>
      </c>
      <c r="S54" s="1">
        <f t="shared" si="6"/>
        <v>0.6875</v>
      </c>
      <c r="T54" s="1">
        <f t="shared" si="7"/>
        <v>3.2217456224665955</v>
      </c>
      <c r="V54" s="4">
        <f>Sheet1!AB54^2</f>
        <v>0.36020266869870415</v>
      </c>
      <c r="W54" s="5">
        <f>Sheet1!AC54^2</f>
        <v>0.15986493506086813</v>
      </c>
      <c r="X54" s="5">
        <f t="shared" si="8"/>
        <v>25.21418680890929</v>
      </c>
      <c r="Y54">
        <f t="shared" si="9"/>
        <v>0.11852055530374707</v>
      </c>
      <c r="Z54" s="5">
        <f t="shared" si="10"/>
        <v>5.9105480166566415E-2</v>
      </c>
      <c r="AA54" s="5">
        <f t="shared" si="11"/>
        <v>1.9139110301492872</v>
      </c>
      <c r="AB54" s="5">
        <f t="shared" si="12"/>
        <v>0.97004308891611646</v>
      </c>
      <c r="AC54" s="5">
        <f t="shared" si="13"/>
        <v>2.9956911083883542E-2</v>
      </c>
      <c r="AD54" s="5">
        <f t="shared" si="14"/>
        <v>0.22866377857128883</v>
      </c>
      <c r="AF54" s="12">
        <f t="shared" si="15"/>
        <v>1</v>
      </c>
      <c r="AG54" s="12">
        <f t="shared" si="16"/>
        <v>1</v>
      </c>
    </row>
    <row r="55" spans="1:33" x14ac:dyDescent="0.3">
      <c r="A55" s="2">
        <v>202209</v>
      </c>
      <c r="B55" s="6">
        <v>44820</v>
      </c>
      <c r="C55" s="3">
        <v>62</v>
      </c>
      <c r="D55" s="3">
        <v>100</v>
      </c>
      <c r="E55" s="3">
        <v>51</v>
      </c>
      <c r="F55" s="3">
        <v>18</v>
      </c>
      <c r="G55" s="3">
        <v>52</v>
      </c>
      <c r="H55" s="3">
        <v>33</v>
      </c>
      <c r="I55" s="3">
        <v>100</v>
      </c>
      <c r="J55" s="3" t="s">
        <v>19</v>
      </c>
      <c r="K55" s="3" t="s">
        <v>20</v>
      </c>
      <c r="L55" s="3" t="s">
        <v>21</v>
      </c>
      <c r="N55" s="1">
        <f t="shared" si="1"/>
        <v>0.60344827586206895</v>
      </c>
      <c r="O55" s="1">
        <f t="shared" si="2"/>
        <v>0.54285714285714282</v>
      </c>
      <c r="P55" s="1">
        <f t="shared" si="3"/>
        <v>0.5</v>
      </c>
      <c r="Q55" s="1">
        <f t="shared" si="4"/>
        <v>0.47368421052631576</v>
      </c>
      <c r="R55" s="1">
        <f t="shared" si="5"/>
        <v>0.21341463414634146</v>
      </c>
      <c r="S55" s="1">
        <f t="shared" si="6"/>
        <v>0.625</v>
      </c>
      <c r="T55" s="1">
        <f t="shared" si="7"/>
        <v>2.958404263391869</v>
      </c>
      <c r="V55" s="4">
        <f>Sheet1!AB55^2</f>
        <v>0.56064384624542807</v>
      </c>
      <c r="W55" s="5">
        <f>Sheet1!AC55^2</f>
        <v>6.3120762956989318E-2</v>
      </c>
      <c r="X55" s="5">
        <f t="shared" si="8"/>
        <v>34.759918467216544</v>
      </c>
      <c r="Y55">
        <f t="shared" si="9"/>
        <v>3.8090115577493554E-2</v>
      </c>
      <c r="Z55" s="5">
        <f t="shared" si="10"/>
        <v>1.7732502810580884E-2</v>
      </c>
      <c r="AA55" s="5">
        <f t="shared" si="11"/>
        <v>1.5693912365616796</v>
      </c>
      <c r="AB55" s="5">
        <f t="shared" si="12"/>
        <v>0.98882727138994564</v>
      </c>
      <c r="AC55" s="5">
        <f t="shared" si="13"/>
        <v>1.1172728610054361E-2</v>
      </c>
      <c r="AD55" s="5">
        <f t="shared" si="14"/>
        <v>0.38537899552787669</v>
      </c>
      <c r="AF55" s="12">
        <f t="shared" si="15"/>
        <v>1</v>
      </c>
      <c r="AG55" s="12">
        <f t="shared" si="16"/>
        <v>0</v>
      </c>
    </row>
    <row r="56" spans="1:33" ht="27.6" x14ac:dyDescent="0.3">
      <c r="A56" s="2">
        <v>202209</v>
      </c>
      <c r="B56" s="6">
        <v>44819</v>
      </c>
      <c r="C56" s="3">
        <v>78</v>
      </c>
      <c r="D56" s="3">
        <v>117</v>
      </c>
      <c r="E56" s="3">
        <v>51</v>
      </c>
      <c r="F56" s="3">
        <v>26</v>
      </c>
      <c r="G56" s="3">
        <v>34</v>
      </c>
      <c r="H56" s="3">
        <v>39</v>
      </c>
      <c r="I56" s="3">
        <v>117</v>
      </c>
      <c r="J56" s="3" t="s">
        <v>19</v>
      </c>
      <c r="K56" s="3" t="s">
        <v>22</v>
      </c>
      <c r="L56" s="3" t="s">
        <v>21</v>
      </c>
      <c r="N56" s="1">
        <f t="shared" si="1"/>
        <v>0.87931034482758619</v>
      </c>
      <c r="O56" s="1">
        <f t="shared" si="2"/>
        <v>0.70476190476190481</v>
      </c>
      <c r="P56" s="1">
        <f t="shared" si="3"/>
        <v>0.5</v>
      </c>
      <c r="Q56" s="1">
        <f t="shared" si="4"/>
        <v>0.89473684210526316</v>
      </c>
      <c r="R56" s="1">
        <f t="shared" si="5"/>
        <v>0.10365853658536585</v>
      </c>
      <c r="S56" s="1">
        <f t="shared" si="6"/>
        <v>0.8125</v>
      </c>
      <c r="T56" s="1">
        <f t="shared" si="7"/>
        <v>3.8949676282801202</v>
      </c>
      <c r="V56" s="4">
        <f>Sheet1!AB56^2</f>
        <v>0.28890676882389021</v>
      </c>
      <c r="W56" s="5">
        <f>Sheet1!AC56^2</f>
        <v>0.21390580357057432</v>
      </c>
      <c r="X56" s="5">
        <f t="shared" si="8"/>
        <v>22.534727968263436</v>
      </c>
      <c r="Y56">
        <f t="shared" si="9"/>
        <v>0.18808958589826361</v>
      </c>
      <c r="Z56" s="5">
        <f t="shared" si="10"/>
        <v>0.37863050270359411</v>
      </c>
      <c r="AA56" s="5">
        <f t="shared" si="11"/>
        <v>2.9913313837519553</v>
      </c>
      <c r="AB56" s="5">
        <f t="shared" si="12"/>
        <v>0.88764546441151915</v>
      </c>
      <c r="AC56" s="5">
        <f t="shared" si="13"/>
        <v>0.11235453558848085</v>
      </c>
      <c r="AD56" s="5">
        <f t="shared" si="14"/>
        <v>8.3351195839329595E-3</v>
      </c>
      <c r="AF56" s="12">
        <f t="shared" si="15"/>
        <v>1</v>
      </c>
      <c r="AG56" s="12">
        <f t="shared" si="16"/>
        <v>0</v>
      </c>
    </row>
    <row r="57" spans="1:33" ht="27.6" x14ac:dyDescent="0.3">
      <c r="A57" s="2">
        <v>202209</v>
      </c>
      <c r="B57" s="6">
        <v>44818</v>
      </c>
      <c r="C57" s="3">
        <v>67</v>
      </c>
      <c r="D57" s="3">
        <v>113</v>
      </c>
      <c r="E57" s="3">
        <v>53</v>
      </c>
      <c r="F57" s="3">
        <v>18</v>
      </c>
      <c r="G57" s="3">
        <v>42</v>
      </c>
      <c r="H57" s="3">
        <v>38</v>
      </c>
      <c r="I57" s="3">
        <v>113</v>
      </c>
      <c r="J57" s="3" t="s">
        <v>19</v>
      </c>
      <c r="K57" s="3" t="s">
        <v>22</v>
      </c>
      <c r="L57" s="3" t="s">
        <v>21</v>
      </c>
      <c r="N57" s="1">
        <f t="shared" si="1"/>
        <v>0.68965517241379315</v>
      </c>
      <c r="O57" s="1">
        <f t="shared" si="2"/>
        <v>0.66666666666666663</v>
      </c>
      <c r="P57" s="1">
        <f t="shared" si="3"/>
        <v>0.66666666666666663</v>
      </c>
      <c r="Q57" s="1">
        <f t="shared" si="4"/>
        <v>0.47368421052631576</v>
      </c>
      <c r="R57" s="1">
        <f t="shared" si="5"/>
        <v>0.1524390243902439</v>
      </c>
      <c r="S57" s="1">
        <f t="shared" si="6"/>
        <v>0.78125</v>
      </c>
      <c r="T57" s="1">
        <f t="shared" si="7"/>
        <v>3.4303617406636859</v>
      </c>
      <c r="V57" s="4">
        <f>Sheet1!AB57^2</f>
        <v>0.34698568982313011</v>
      </c>
      <c r="W57" s="5">
        <f>Sheet1!AC57^2</f>
        <v>0.16887586502218208</v>
      </c>
      <c r="X57" s="5">
        <f t="shared" si="8"/>
        <v>23.248041218149716</v>
      </c>
      <c r="Y57">
        <f t="shared" si="9"/>
        <v>0.11646611380840144</v>
      </c>
      <c r="Z57" s="5">
        <f t="shared" si="10"/>
        <v>0.13833858071930141</v>
      </c>
      <c r="AA57" s="5">
        <f t="shared" si="11"/>
        <v>2.2224790956849763</v>
      </c>
      <c r="AB57" s="5">
        <f t="shared" si="12"/>
        <v>0.94140225986023518</v>
      </c>
      <c r="AC57" s="5">
        <f t="shared" si="13"/>
        <v>5.859774013976482E-2</v>
      </c>
      <c r="AD57" s="5">
        <f t="shared" si="14"/>
        <v>0.25174708744644203</v>
      </c>
      <c r="AF57" s="12">
        <f t="shared" si="15"/>
        <v>1</v>
      </c>
      <c r="AG57" s="12">
        <f t="shared" si="16"/>
        <v>1</v>
      </c>
    </row>
    <row r="58" spans="1:33" x14ac:dyDescent="0.3">
      <c r="A58" s="2">
        <v>202209</v>
      </c>
      <c r="B58" s="6">
        <v>44817</v>
      </c>
      <c r="C58" s="3">
        <v>59</v>
      </c>
      <c r="D58" s="3">
        <v>81</v>
      </c>
      <c r="E58" s="3">
        <v>52</v>
      </c>
      <c r="F58" s="3">
        <v>18</v>
      </c>
      <c r="G58" s="3">
        <v>45</v>
      </c>
      <c r="H58" s="3">
        <v>32</v>
      </c>
      <c r="I58" s="3">
        <v>81</v>
      </c>
      <c r="J58" s="3" t="s">
        <v>19</v>
      </c>
      <c r="K58" s="3" t="s">
        <v>20</v>
      </c>
      <c r="L58" s="3" t="s">
        <v>26</v>
      </c>
      <c r="N58" s="1">
        <f t="shared" si="1"/>
        <v>0.55172413793103448</v>
      </c>
      <c r="O58" s="1">
        <f t="shared" si="2"/>
        <v>0.3619047619047619</v>
      </c>
      <c r="P58" s="1">
        <f t="shared" si="3"/>
        <v>0.58333333333333337</v>
      </c>
      <c r="Q58" s="1">
        <f t="shared" si="4"/>
        <v>0.47368421052631576</v>
      </c>
      <c r="R58" s="1">
        <f t="shared" si="5"/>
        <v>0.17073170731707318</v>
      </c>
      <c r="S58" s="1">
        <f t="shared" si="6"/>
        <v>0.59375</v>
      </c>
      <c r="T58" s="1">
        <f t="shared" si="7"/>
        <v>2.7351281510125185</v>
      </c>
      <c r="V58" s="4">
        <f>Sheet1!AB58^2</f>
        <v>0.61798776866044591</v>
      </c>
      <c r="W58" s="5">
        <f>Sheet1!AC58^2</f>
        <v>4.5743807106837772E-2</v>
      </c>
      <c r="X58" s="5">
        <f t="shared" si="8"/>
        <v>36.46127835096631</v>
      </c>
      <c r="Y58">
        <f t="shared" si="9"/>
        <v>2.5237962541703598E-2</v>
      </c>
      <c r="Z58" s="5">
        <f t="shared" si="10"/>
        <v>1.6015562612780497E-2</v>
      </c>
      <c r="AA58" s="5">
        <f t="shared" si="11"/>
        <v>1.381717468528205</v>
      </c>
      <c r="AB58" s="5">
        <f t="shared" si="12"/>
        <v>0.98854175850755499</v>
      </c>
      <c r="AC58" s="5">
        <f t="shared" si="13"/>
        <v>1.1458241492445009E-2</v>
      </c>
      <c r="AD58" s="5">
        <f t="shared" si="14"/>
        <v>0.43681762057652052</v>
      </c>
      <c r="AF58" s="12">
        <f t="shared" si="15"/>
        <v>1</v>
      </c>
      <c r="AG58" s="12">
        <f t="shared" si="16"/>
        <v>1</v>
      </c>
    </row>
    <row r="59" spans="1:33" x14ac:dyDescent="0.3">
      <c r="A59" s="2">
        <v>202209</v>
      </c>
      <c r="B59" s="6">
        <v>44816</v>
      </c>
      <c r="C59" s="3">
        <v>53</v>
      </c>
      <c r="D59" s="3">
        <v>79</v>
      </c>
      <c r="E59" s="3">
        <v>52</v>
      </c>
      <c r="F59" s="3">
        <v>18</v>
      </c>
      <c r="G59" s="3">
        <v>35</v>
      </c>
      <c r="H59" s="3">
        <v>27</v>
      </c>
      <c r="I59" s="3">
        <v>79</v>
      </c>
      <c r="J59" s="3" t="s">
        <v>19</v>
      </c>
      <c r="K59" s="3" t="s">
        <v>20</v>
      </c>
      <c r="L59" s="3" t="s">
        <v>21</v>
      </c>
      <c r="N59" s="1">
        <f t="shared" si="1"/>
        <v>0.44827586206896552</v>
      </c>
      <c r="O59" s="1">
        <f t="shared" si="2"/>
        <v>0.34285714285714286</v>
      </c>
      <c r="P59" s="1">
        <f t="shared" si="3"/>
        <v>0.58333333333333337</v>
      </c>
      <c r="Q59" s="1">
        <f t="shared" si="4"/>
        <v>0.47368421052631576</v>
      </c>
      <c r="R59" s="1">
        <f t="shared" si="5"/>
        <v>0.10975609756097561</v>
      </c>
      <c r="S59" s="1">
        <f t="shared" si="6"/>
        <v>0.4375</v>
      </c>
      <c r="T59" s="1">
        <f t="shared" si="7"/>
        <v>2.3954066463467329</v>
      </c>
      <c r="V59" s="4">
        <f>Sheet1!AB59^2</f>
        <v>0.44719882413107531</v>
      </c>
      <c r="W59" s="5">
        <f>Sheet1!AC59^2</f>
        <v>0.10974030270908323</v>
      </c>
      <c r="X59" s="5">
        <f t="shared" si="8"/>
        <v>23.701537678946991</v>
      </c>
      <c r="Y59">
        <f t="shared" si="9"/>
        <v>4.9193928800623517E-2</v>
      </c>
      <c r="Z59" s="5">
        <f t="shared" si="10"/>
        <v>6.5262828591158339E-2</v>
      </c>
      <c r="AA59" s="5">
        <f t="shared" si="11"/>
        <v>1.0866094289533688</v>
      </c>
      <c r="AB59" s="5">
        <f t="shared" si="12"/>
        <v>0.94334195639863683</v>
      </c>
      <c r="AC59" s="5">
        <f t="shared" si="13"/>
        <v>5.6658043601363173E-2</v>
      </c>
      <c r="AD59" s="5">
        <f t="shared" si="14"/>
        <v>0.4950660943296713</v>
      </c>
      <c r="AF59" s="12">
        <f t="shared" si="15"/>
        <v>1</v>
      </c>
      <c r="AG59" s="12">
        <f t="shared" si="16"/>
        <v>1</v>
      </c>
    </row>
    <row r="60" spans="1:33" x14ac:dyDescent="0.3">
      <c r="A60" s="2">
        <v>202209</v>
      </c>
      <c r="B60" s="6">
        <v>44815</v>
      </c>
      <c r="C60" s="3">
        <v>64</v>
      </c>
      <c r="D60" s="3">
        <v>88</v>
      </c>
      <c r="E60" s="3">
        <v>51</v>
      </c>
      <c r="F60" s="3">
        <v>20</v>
      </c>
      <c r="G60" s="3">
        <v>37</v>
      </c>
      <c r="H60" s="3">
        <v>34</v>
      </c>
      <c r="I60" s="3">
        <v>88</v>
      </c>
      <c r="J60" s="3" t="s">
        <v>19</v>
      </c>
      <c r="K60" s="3" t="s">
        <v>20</v>
      </c>
      <c r="L60" s="3" t="s">
        <v>21</v>
      </c>
      <c r="N60" s="1">
        <f t="shared" si="1"/>
        <v>0.63793103448275867</v>
      </c>
      <c r="O60" s="1">
        <f t="shared" si="2"/>
        <v>0.42857142857142855</v>
      </c>
      <c r="P60" s="1">
        <f t="shared" si="3"/>
        <v>0.5</v>
      </c>
      <c r="Q60" s="1">
        <f t="shared" si="4"/>
        <v>0.57894736842105265</v>
      </c>
      <c r="R60" s="1">
        <f t="shared" si="5"/>
        <v>0.12195121951219512</v>
      </c>
      <c r="S60" s="1">
        <f t="shared" si="6"/>
        <v>0.65625</v>
      </c>
      <c r="T60" s="1">
        <f t="shared" si="7"/>
        <v>2.9236510509874352</v>
      </c>
      <c r="V60" s="4">
        <f>Sheet1!AB60^2</f>
        <v>0.57143251154949948</v>
      </c>
      <c r="W60" s="5">
        <f>Sheet1!AC60^2</f>
        <v>5.9569407231519933E-2</v>
      </c>
      <c r="X60" s="5">
        <f t="shared" si="8"/>
        <v>36.571680739167967</v>
      </c>
      <c r="Y60">
        <f t="shared" si="9"/>
        <v>3.8001173578728238E-2</v>
      </c>
      <c r="Z60" s="5">
        <f t="shared" si="10"/>
        <v>1.6709540110509947E-2</v>
      </c>
      <c r="AA60" s="5">
        <f t="shared" si="11"/>
        <v>1.6213456919861715</v>
      </c>
      <c r="AB60" s="5">
        <f t="shared" si="12"/>
        <v>0.98979915952582254</v>
      </c>
      <c r="AC60" s="5">
        <f t="shared" si="13"/>
        <v>1.0200840474177464E-2</v>
      </c>
      <c r="AD60" s="5">
        <f t="shared" si="14"/>
        <v>0.35186812504306386</v>
      </c>
      <c r="AF60" s="12">
        <f t="shared" si="15"/>
        <v>1</v>
      </c>
      <c r="AG60" s="12">
        <f t="shared" si="16"/>
        <v>1</v>
      </c>
    </row>
    <row r="61" spans="1:33" x14ac:dyDescent="0.3">
      <c r="A61" s="2">
        <v>202209</v>
      </c>
      <c r="B61" s="6">
        <v>44814</v>
      </c>
      <c r="C61" s="3">
        <v>56</v>
      </c>
      <c r="D61" s="3">
        <v>72</v>
      </c>
      <c r="E61" s="3">
        <v>48</v>
      </c>
      <c r="F61" s="3">
        <v>22</v>
      </c>
      <c r="G61" s="3">
        <v>41</v>
      </c>
      <c r="H61" s="3">
        <v>39</v>
      </c>
      <c r="I61" s="3">
        <v>72</v>
      </c>
      <c r="J61" s="3" t="s">
        <v>19</v>
      </c>
      <c r="K61" s="3" t="s">
        <v>20</v>
      </c>
      <c r="L61" s="3" t="s">
        <v>21</v>
      </c>
      <c r="N61" s="1">
        <f t="shared" si="1"/>
        <v>0.5</v>
      </c>
      <c r="O61" s="1">
        <f t="shared" si="2"/>
        <v>0.27619047619047621</v>
      </c>
      <c r="P61" s="1">
        <f t="shared" si="3"/>
        <v>0.25</v>
      </c>
      <c r="Q61" s="1">
        <f t="shared" si="4"/>
        <v>0.68421052631578949</v>
      </c>
      <c r="R61" s="1">
        <f t="shared" si="5"/>
        <v>0.14634146341463414</v>
      </c>
      <c r="S61" s="1">
        <f t="shared" si="6"/>
        <v>0.8125</v>
      </c>
      <c r="T61" s="1">
        <f t="shared" si="7"/>
        <v>2.6692424659208998</v>
      </c>
      <c r="V61" s="4">
        <f>Sheet1!AB61^2</f>
        <v>0.37762106902661158</v>
      </c>
      <c r="W61" s="5">
        <f>Sheet1!AC61^2</f>
        <v>0.1486034629255247</v>
      </c>
      <c r="X61" s="5">
        <f t="shared" si="8"/>
        <v>21.146779865490249</v>
      </c>
      <c r="Y61">
        <f t="shared" si="9"/>
        <v>7.4301731462762352E-2</v>
      </c>
      <c r="Z61" s="5">
        <f t="shared" si="10"/>
        <v>0.15784220149022282</v>
      </c>
      <c r="AA61" s="5">
        <f t="shared" si="11"/>
        <v>1.5384972973739883</v>
      </c>
      <c r="AB61" s="5">
        <f t="shared" si="12"/>
        <v>0.90695129035437394</v>
      </c>
      <c r="AC61" s="5">
        <f t="shared" si="13"/>
        <v>9.304870964562606E-2</v>
      </c>
      <c r="AD61" s="5">
        <f t="shared" si="14"/>
        <v>0.40695129035437394</v>
      </c>
      <c r="AF61" s="12">
        <f t="shared" si="15"/>
        <v>1</v>
      </c>
      <c r="AG61" s="12">
        <f t="shared" si="16"/>
        <v>1</v>
      </c>
    </row>
    <row r="62" spans="1:33" x14ac:dyDescent="0.3">
      <c r="A62" s="2">
        <v>202209</v>
      </c>
      <c r="B62" s="6">
        <v>44813</v>
      </c>
      <c r="C62" s="3">
        <v>71</v>
      </c>
      <c r="D62" s="3">
        <v>91</v>
      </c>
      <c r="E62" s="3">
        <v>49</v>
      </c>
      <c r="F62" s="3">
        <v>28</v>
      </c>
      <c r="G62" s="3">
        <v>32</v>
      </c>
      <c r="H62" s="3">
        <v>43</v>
      </c>
      <c r="I62" s="3">
        <v>91</v>
      </c>
      <c r="J62" s="3" t="s">
        <v>19</v>
      </c>
      <c r="K62" s="3" t="s">
        <v>20</v>
      </c>
      <c r="L62" s="3" t="s">
        <v>24</v>
      </c>
      <c r="N62" s="1">
        <f t="shared" si="1"/>
        <v>0.75862068965517238</v>
      </c>
      <c r="O62" s="1">
        <f t="shared" si="2"/>
        <v>0.45714285714285713</v>
      </c>
      <c r="P62" s="1">
        <f t="shared" si="3"/>
        <v>0.33333333333333331</v>
      </c>
      <c r="Q62" s="1">
        <f t="shared" si="4"/>
        <v>1</v>
      </c>
      <c r="R62" s="1">
        <f t="shared" si="5"/>
        <v>9.1463414634146339E-2</v>
      </c>
      <c r="S62" s="1">
        <f t="shared" si="6"/>
        <v>0.9375</v>
      </c>
      <c r="T62" s="1">
        <f t="shared" si="7"/>
        <v>3.5780602947655091</v>
      </c>
      <c r="V62" s="4">
        <f>Sheet1!AB62^2</f>
        <v>0.31195140445090946</v>
      </c>
      <c r="W62" s="5">
        <f>Sheet1!AC62^2</f>
        <v>0.19489920432611768</v>
      </c>
      <c r="X62" s="5">
        <f t="shared" si="8"/>
        <v>22.148549716014571</v>
      </c>
      <c r="Y62">
        <f t="shared" si="9"/>
        <v>0.14785456879912376</v>
      </c>
      <c r="Z62" s="5">
        <f t="shared" si="10"/>
        <v>0.42642196541737126</v>
      </c>
      <c r="AA62" s="5">
        <f t="shared" si="11"/>
        <v>2.7828678599372729</v>
      </c>
      <c r="AB62" s="5">
        <f t="shared" si="12"/>
        <v>0.86712887005453021</v>
      </c>
      <c r="AC62" s="5">
        <f t="shared" si="13"/>
        <v>0.13287112994546979</v>
      </c>
      <c r="AD62" s="5">
        <f t="shared" si="14"/>
        <v>0.10850818039935783</v>
      </c>
      <c r="AF62" s="12">
        <f t="shared" si="15"/>
        <v>1</v>
      </c>
      <c r="AG62" s="12">
        <f t="shared" si="16"/>
        <v>1</v>
      </c>
    </row>
    <row r="63" spans="1:33" x14ac:dyDescent="0.3">
      <c r="A63" s="2">
        <v>202209</v>
      </c>
      <c r="B63" s="6">
        <v>44812</v>
      </c>
      <c r="C63" s="3">
        <v>61</v>
      </c>
      <c r="D63" s="3">
        <v>87</v>
      </c>
      <c r="E63" s="3">
        <v>48</v>
      </c>
      <c r="F63" s="3">
        <v>26</v>
      </c>
      <c r="G63" s="3">
        <v>32</v>
      </c>
      <c r="H63" s="3">
        <v>45</v>
      </c>
      <c r="I63" s="3">
        <v>87</v>
      </c>
      <c r="J63" s="3" t="s">
        <v>19</v>
      </c>
      <c r="K63" s="3" t="s">
        <v>20</v>
      </c>
      <c r="L63" s="3" t="s">
        <v>21</v>
      </c>
      <c r="N63" s="1">
        <f t="shared" si="1"/>
        <v>0.58620689655172409</v>
      </c>
      <c r="O63" s="1">
        <f t="shared" si="2"/>
        <v>0.41904761904761906</v>
      </c>
      <c r="P63" s="1">
        <f t="shared" si="3"/>
        <v>0.25</v>
      </c>
      <c r="Q63" s="1">
        <f t="shared" si="4"/>
        <v>0.89473684210526316</v>
      </c>
      <c r="R63" s="1">
        <f t="shared" si="5"/>
        <v>9.1463414634146339E-2</v>
      </c>
      <c r="S63" s="1">
        <f t="shared" si="6"/>
        <v>1</v>
      </c>
      <c r="T63" s="1">
        <f t="shared" si="7"/>
        <v>3.2414547723387526</v>
      </c>
      <c r="V63" s="4">
        <f>Sheet1!AB63^2</f>
        <v>0.33083777086633448</v>
      </c>
      <c r="W63" s="5">
        <f>Sheet1!AC63^2</f>
        <v>0.1804677940913241</v>
      </c>
      <c r="X63" s="5">
        <f t="shared" si="8"/>
        <v>20.181104022846402</v>
      </c>
      <c r="Y63">
        <f t="shared" si="9"/>
        <v>0.10579146550181068</v>
      </c>
      <c r="Z63" s="5">
        <f t="shared" si="10"/>
        <v>0.37155144817105606</v>
      </c>
      <c r="AA63" s="5">
        <f t="shared" si="11"/>
        <v>2.3906590054313184</v>
      </c>
      <c r="AB63" s="5">
        <f t="shared" si="12"/>
        <v>0.86548763955096464</v>
      </c>
      <c r="AC63" s="5">
        <f t="shared" si="13"/>
        <v>0.13451236044903536</v>
      </c>
      <c r="AD63" s="5">
        <f t="shared" si="14"/>
        <v>0.27928074299924055</v>
      </c>
      <c r="AF63" s="12">
        <f t="shared" si="15"/>
        <v>1</v>
      </c>
      <c r="AG63" s="12">
        <f t="shared" si="16"/>
        <v>1</v>
      </c>
    </row>
    <row r="64" spans="1:33" x14ac:dyDescent="0.3">
      <c r="A64" s="2">
        <v>202209</v>
      </c>
      <c r="B64" s="6">
        <v>44811</v>
      </c>
      <c r="C64" s="3">
        <v>55</v>
      </c>
      <c r="D64" s="3">
        <v>79</v>
      </c>
      <c r="E64" s="3">
        <v>49</v>
      </c>
      <c r="F64" s="3">
        <v>15</v>
      </c>
      <c r="G64" s="3">
        <v>38</v>
      </c>
      <c r="H64" s="3">
        <v>21</v>
      </c>
      <c r="I64" s="3">
        <v>79</v>
      </c>
      <c r="J64" s="3" t="s">
        <v>19</v>
      </c>
      <c r="K64" s="3" t="s">
        <v>20</v>
      </c>
      <c r="L64" s="3" t="s">
        <v>21</v>
      </c>
      <c r="N64" s="1">
        <f t="shared" si="1"/>
        <v>0.48275862068965519</v>
      </c>
      <c r="O64" s="1">
        <f t="shared" si="2"/>
        <v>0.34285714285714286</v>
      </c>
      <c r="P64" s="1">
        <f t="shared" si="3"/>
        <v>0.33333333333333331</v>
      </c>
      <c r="Q64" s="1">
        <f t="shared" si="4"/>
        <v>0.31578947368421051</v>
      </c>
      <c r="R64" s="1">
        <f t="shared" si="5"/>
        <v>0.12804878048780488</v>
      </c>
      <c r="S64" s="1">
        <f t="shared" si="6"/>
        <v>0.25</v>
      </c>
      <c r="T64" s="1">
        <f t="shared" si="7"/>
        <v>1.8527873510521466</v>
      </c>
      <c r="V64" s="4">
        <f>Sheet1!AB64^2</f>
        <v>0.22856961380747315</v>
      </c>
      <c r="W64" s="5">
        <f>Sheet1!AC64^2</f>
        <v>0.27239052219864046</v>
      </c>
      <c r="X64" s="5">
        <f t="shared" si="8"/>
        <v>12.571328759411022</v>
      </c>
      <c r="Y64">
        <f t="shared" si="9"/>
        <v>0.13149887278555059</v>
      </c>
      <c r="Z64" s="5">
        <f t="shared" si="10"/>
        <v>0.19825280718779636</v>
      </c>
      <c r="AA64" s="5">
        <f t="shared" si="11"/>
        <v>0.64033749924361749</v>
      </c>
      <c r="AB64" s="5">
        <f t="shared" si="12"/>
        <v>0.76358800517090053</v>
      </c>
      <c r="AC64" s="5">
        <f t="shared" si="13"/>
        <v>0.23641199482909947</v>
      </c>
      <c r="AD64" s="5">
        <f t="shared" si="14"/>
        <v>0.28082938448124534</v>
      </c>
      <c r="AF64" s="12">
        <f t="shared" si="15"/>
        <v>1</v>
      </c>
      <c r="AG64" s="12">
        <f t="shared" si="16"/>
        <v>1</v>
      </c>
    </row>
    <row r="65" spans="1:33" x14ac:dyDescent="0.3">
      <c r="A65" s="2">
        <v>202209</v>
      </c>
      <c r="B65" s="6">
        <v>44810</v>
      </c>
      <c r="C65" s="3">
        <v>63</v>
      </c>
      <c r="D65" s="3">
        <v>86</v>
      </c>
      <c r="E65" s="3">
        <v>51</v>
      </c>
      <c r="F65" s="3">
        <v>12</v>
      </c>
      <c r="G65" s="3">
        <v>43</v>
      </c>
      <c r="H65" s="3">
        <v>17</v>
      </c>
      <c r="I65" s="3">
        <v>86</v>
      </c>
      <c r="J65" s="3" t="s">
        <v>19</v>
      </c>
      <c r="K65" s="3" t="s">
        <v>20</v>
      </c>
      <c r="L65" s="3" t="s">
        <v>21</v>
      </c>
      <c r="N65" s="1">
        <f t="shared" si="1"/>
        <v>0.62068965517241381</v>
      </c>
      <c r="O65" s="1">
        <f t="shared" si="2"/>
        <v>0.40952380952380951</v>
      </c>
      <c r="P65" s="1">
        <f t="shared" si="3"/>
        <v>0.5</v>
      </c>
      <c r="Q65" s="1">
        <f t="shared" si="4"/>
        <v>0.15789473684210525</v>
      </c>
      <c r="R65" s="1">
        <f t="shared" si="5"/>
        <v>0.15853658536585366</v>
      </c>
      <c r="S65" s="1">
        <f t="shared" si="6"/>
        <v>0.125</v>
      </c>
      <c r="T65" s="1">
        <f t="shared" si="7"/>
        <v>1.9716447869041822</v>
      </c>
      <c r="V65" s="4">
        <f>Sheet1!AB65^2</f>
        <v>0.18625929672823918</v>
      </c>
      <c r="W65" s="5">
        <f>Sheet1!AC65^2</f>
        <v>0.32310393011516136</v>
      </c>
      <c r="X65" s="5">
        <f t="shared" si="8"/>
        <v>11.734335693879068</v>
      </c>
      <c r="Y65">
        <f t="shared" si="9"/>
        <v>0.20054726696803118</v>
      </c>
      <c r="Z65" s="5">
        <f t="shared" si="10"/>
        <v>0.35147744631484734</v>
      </c>
      <c r="AA65" s="5">
        <f t="shared" si="11"/>
        <v>0.86865499542684566</v>
      </c>
      <c r="AB65" s="5">
        <f t="shared" si="12"/>
        <v>0.71193500452038916</v>
      </c>
      <c r="AC65" s="5">
        <f t="shared" si="13"/>
        <v>0.28806499547961084</v>
      </c>
      <c r="AD65" s="5">
        <f t="shared" si="14"/>
        <v>9.1245349347975346E-2</v>
      </c>
      <c r="AF65" s="12">
        <f t="shared" si="15"/>
        <v>1</v>
      </c>
      <c r="AG65" s="12">
        <f t="shared" si="16"/>
        <v>1</v>
      </c>
    </row>
    <row r="66" spans="1:33" ht="27.6" x14ac:dyDescent="0.3">
      <c r="A66" s="2">
        <v>202209</v>
      </c>
      <c r="B66" s="6">
        <v>44809</v>
      </c>
      <c r="C66" s="3">
        <v>59</v>
      </c>
      <c r="D66" s="3">
        <v>105</v>
      </c>
      <c r="E66" s="3">
        <v>51</v>
      </c>
      <c r="F66" s="3">
        <v>15</v>
      </c>
      <c r="G66" s="3">
        <v>45</v>
      </c>
      <c r="H66" s="3">
        <v>23</v>
      </c>
      <c r="I66" s="3">
        <v>105</v>
      </c>
      <c r="J66" s="3" t="s">
        <v>19</v>
      </c>
      <c r="K66" s="3" t="s">
        <v>22</v>
      </c>
      <c r="L66" s="3" t="s">
        <v>21</v>
      </c>
      <c r="N66" s="1">
        <f t="shared" si="1"/>
        <v>0.55172413793103448</v>
      </c>
      <c r="O66" s="1">
        <f t="shared" si="2"/>
        <v>0.59047619047619049</v>
      </c>
      <c r="P66" s="1">
        <f t="shared" si="3"/>
        <v>0.5</v>
      </c>
      <c r="Q66" s="1">
        <f t="shared" si="4"/>
        <v>0.31578947368421051</v>
      </c>
      <c r="R66" s="1">
        <f t="shared" si="5"/>
        <v>0.17073170731707318</v>
      </c>
      <c r="S66" s="1">
        <f t="shared" si="6"/>
        <v>0.3125</v>
      </c>
      <c r="T66" s="1">
        <f t="shared" si="7"/>
        <v>2.4412215094085088</v>
      </c>
      <c r="V66" s="4">
        <f>Sheet1!AB66^2</f>
        <v>0.16223976982194135</v>
      </c>
      <c r="W66" s="5">
        <f>Sheet1!AC66^2</f>
        <v>0.35665980526983976</v>
      </c>
      <c r="X66" s="5">
        <f t="shared" si="8"/>
        <v>9.5721464194945405</v>
      </c>
      <c r="Y66">
        <f t="shared" si="9"/>
        <v>0.19677782359715296</v>
      </c>
      <c r="Z66" s="5">
        <f t="shared" si="10"/>
        <v>0.14717565923994599</v>
      </c>
      <c r="AA66" s="5">
        <f t="shared" si="11"/>
        <v>1.1295902134681708</v>
      </c>
      <c r="AB66" s="5">
        <f t="shared" si="12"/>
        <v>0.88472776224212879</v>
      </c>
      <c r="AC66" s="5">
        <f t="shared" si="13"/>
        <v>0.11527223775787121</v>
      </c>
      <c r="AD66" s="5">
        <f t="shared" si="14"/>
        <v>0.33300362431109432</v>
      </c>
      <c r="AF66" s="12">
        <f t="shared" ref="AF66:AF98" si="17">IF(AB67 &gt; AC67, 1, 2)</f>
        <v>2</v>
      </c>
      <c r="AG66" s="12">
        <f t="shared" ref="AG66:AG98" si="18">IF(OR(AND(AF67=1, K67="SEDANG"), AND(AF67=2, K67="TIDAK SEHAT")), 1, 0)</f>
        <v>1</v>
      </c>
    </row>
    <row r="67" spans="1:33" x14ac:dyDescent="0.3">
      <c r="A67" s="2">
        <v>202209</v>
      </c>
      <c r="B67" s="6">
        <v>44808</v>
      </c>
      <c r="C67" s="3">
        <v>42</v>
      </c>
      <c r="D67" s="3">
        <v>76</v>
      </c>
      <c r="E67" s="3">
        <v>50</v>
      </c>
      <c r="F67" s="3">
        <v>9</v>
      </c>
      <c r="G67" s="3">
        <v>33</v>
      </c>
      <c r="H67" s="3">
        <v>14</v>
      </c>
      <c r="I67" s="3">
        <v>76</v>
      </c>
      <c r="J67" s="3" t="s">
        <v>19</v>
      </c>
      <c r="K67" s="3" t="s">
        <v>20</v>
      </c>
      <c r="L67" s="3" t="s">
        <v>21</v>
      </c>
      <c r="N67" s="1">
        <f t="shared" ref="N67:O98" si="19">(C67-MIN(C$2:C$99))/(MAX(C$2:C$99)-MIN(C$2:C$99))</f>
        <v>0.25862068965517243</v>
      </c>
      <c r="O67" s="1">
        <f t="shared" si="19"/>
        <v>0.31428571428571428</v>
      </c>
      <c r="P67" s="1">
        <f t="shared" ref="P67:P98" si="20">(E67-MIN(E$2:E$99))/(MAX(E$2:E$99)-MIN(E$2:E$99))</f>
        <v>0.41666666666666669</v>
      </c>
      <c r="Q67" s="1">
        <f t="shared" ref="Q67:Q98" si="21">(F67-MIN(F$2:F$99))/(MAX(F$2:F$99)-MIN(F$2:F$99))</f>
        <v>0</v>
      </c>
      <c r="R67" s="1">
        <f t="shared" ref="R67:R98" si="22">(G67-MIN(G$2:G$99))/(MAX(G$2:G$99)-MIN(G$2:G$99))</f>
        <v>9.7560975609756101E-2</v>
      </c>
      <c r="S67" s="1">
        <f t="shared" ref="S67:S98" si="23">(H67-MIN(H$2:H$99))/(MAX(H$2:H$99)-MIN(H$2:H$99))</f>
        <v>3.125E-2</v>
      </c>
      <c r="T67" s="1">
        <f t="shared" ref="T67:T98" si="24">SUM(N67:S67)</f>
        <v>1.1183840462173096</v>
      </c>
      <c r="V67" s="4">
        <f>Sheet1!AB67^2</f>
        <v>0.23616288514218475</v>
      </c>
      <c r="W67" s="5">
        <f>Sheet1!AC67^2</f>
        <v>0.26423102509810786</v>
      </c>
      <c r="X67" s="5">
        <f t="shared" ref="X67:X98" si="25">V67 * C67</f>
        <v>9.9188411759717603</v>
      </c>
      <c r="Y67">
        <f t="shared" ref="Y67:Y98" si="26">W67 * N67</f>
        <v>6.8335609939165834E-2</v>
      </c>
      <c r="Z67" s="5">
        <f t="shared" ref="Z67:Z98" si="27">(N67-N$102)^2 + (O67-O$102)^2 + (P67-P$102)^2 + (Q67-Q$102)^2 + (R67-R$102)^2 + (S67-S$102)^2</f>
        <v>0.69718141117082677</v>
      </c>
      <c r="AA67" s="5">
        <f t="shared" ref="AA67:AA98" si="28">(N67-N$103)^2 + (O67-O$103)^2 + (P67-P$103)^2 + (Q67-Q$103)^2 + (R67-R$103)^2 + (S67-S$103)^2</f>
        <v>0.34976598889483718</v>
      </c>
      <c r="AB67" s="5">
        <f t="shared" ref="AB67:AB98" si="29">(1/Z67) / ((1/Z67) + (1/AA67))</f>
        <v>0.33408172069857572</v>
      </c>
      <c r="AC67" s="5">
        <f t="shared" ref="AC67:AC98" si="30">1 - AB67</f>
        <v>0.66591827930142422</v>
      </c>
      <c r="AD67" s="5">
        <f t="shared" ref="AD67:AD98" si="31">ABS(AB67 - N67)</f>
        <v>7.5461031043403293E-2</v>
      </c>
      <c r="AF67" s="12">
        <f t="shared" si="17"/>
        <v>1</v>
      </c>
      <c r="AG67" s="12">
        <f t="shared" si="18"/>
        <v>0</v>
      </c>
    </row>
    <row r="68" spans="1:33" ht="27.6" x14ac:dyDescent="0.3">
      <c r="A68" s="2">
        <v>202209</v>
      </c>
      <c r="B68" s="6">
        <v>44807</v>
      </c>
      <c r="C68" s="3">
        <v>64</v>
      </c>
      <c r="D68" s="3">
        <v>102</v>
      </c>
      <c r="E68" s="3">
        <v>50</v>
      </c>
      <c r="F68" s="3">
        <v>18</v>
      </c>
      <c r="G68" s="3">
        <v>37</v>
      </c>
      <c r="H68" s="3">
        <v>31</v>
      </c>
      <c r="I68" s="3">
        <v>102</v>
      </c>
      <c r="J68" s="3" t="s">
        <v>19</v>
      </c>
      <c r="K68" s="3" t="s">
        <v>22</v>
      </c>
      <c r="L68" s="3" t="s">
        <v>21</v>
      </c>
      <c r="N68" s="1">
        <f t="shared" si="19"/>
        <v>0.63793103448275867</v>
      </c>
      <c r="O68" s="1">
        <f t="shared" si="19"/>
        <v>0.56190476190476191</v>
      </c>
      <c r="P68" s="1">
        <f t="shared" si="20"/>
        <v>0.41666666666666669</v>
      </c>
      <c r="Q68" s="1">
        <f t="shared" si="21"/>
        <v>0.47368421052631576</v>
      </c>
      <c r="R68" s="1">
        <f t="shared" si="22"/>
        <v>0.12195121951219512</v>
      </c>
      <c r="S68" s="1">
        <f t="shared" si="23"/>
        <v>0.5625</v>
      </c>
      <c r="T68" s="1">
        <f t="shared" si="24"/>
        <v>2.7746378930926983</v>
      </c>
      <c r="V68" s="4">
        <f>Sheet1!AB68^2</f>
        <v>0.46829612495436634</v>
      </c>
      <c r="W68" s="5">
        <f>Sheet1!AC68^2</f>
        <v>9.9652818677137156E-2</v>
      </c>
      <c r="X68" s="5">
        <f t="shared" si="25"/>
        <v>29.970951997079446</v>
      </c>
      <c r="Y68">
        <f t="shared" si="26"/>
        <v>6.3571625707828885E-2</v>
      </c>
      <c r="Z68" s="5">
        <f t="shared" si="27"/>
        <v>3.1968069932860041E-2</v>
      </c>
      <c r="AA68" s="5">
        <f t="shared" si="28"/>
        <v>1.4519591585610516</v>
      </c>
      <c r="AB68" s="5">
        <f t="shared" si="29"/>
        <v>0.97845711749267816</v>
      </c>
      <c r="AC68" s="5">
        <f t="shared" si="30"/>
        <v>2.1542882507321837E-2</v>
      </c>
      <c r="AD68" s="5">
        <f t="shared" si="31"/>
        <v>0.34052608300991949</v>
      </c>
      <c r="AF68" s="12">
        <f t="shared" si="17"/>
        <v>1</v>
      </c>
      <c r="AG68" s="12">
        <f t="shared" si="18"/>
        <v>1</v>
      </c>
    </row>
    <row r="69" spans="1:33" ht="27.6" x14ac:dyDescent="0.3">
      <c r="A69" s="2">
        <v>202209</v>
      </c>
      <c r="B69" s="6">
        <v>44806</v>
      </c>
      <c r="C69" s="3">
        <v>71</v>
      </c>
      <c r="D69" s="3">
        <v>108</v>
      </c>
      <c r="E69" s="3">
        <v>51</v>
      </c>
      <c r="F69" s="3">
        <v>21</v>
      </c>
      <c r="G69" s="3">
        <v>35</v>
      </c>
      <c r="H69" s="3">
        <v>32</v>
      </c>
      <c r="I69" s="3">
        <v>108</v>
      </c>
      <c r="J69" s="3" t="s">
        <v>19</v>
      </c>
      <c r="K69" s="3" t="s">
        <v>22</v>
      </c>
      <c r="L69" s="3" t="s">
        <v>21</v>
      </c>
      <c r="N69" s="1">
        <f t="shared" si="19"/>
        <v>0.75862068965517238</v>
      </c>
      <c r="O69" s="1">
        <f t="shared" si="19"/>
        <v>0.61904761904761907</v>
      </c>
      <c r="P69" s="1">
        <f t="shared" si="20"/>
        <v>0.5</v>
      </c>
      <c r="Q69" s="1">
        <f t="shared" si="21"/>
        <v>0.63157894736842102</v>
      </c>
      <c r="R69" s="1">
        <f t="shared" si="22"/>
        <v>0.10975609756097561</v>
      </c>
      <c r="S69" s="1">
        <f t="shared" si="23"/>
        <v>0.59375</v>
      </c>
      <c r="T69" s="1">
        <f t="shared" si="24"/>
        <v>3.2127533536321882</v>
      </c>
      <c r="V69" s="4">
        <f>Sheet1!AB69^2</f>
        <v>0.32021467515149438</v>
      </c>
      <c r="W69" s="5">
        <f>Sheet1!AC69^2</f>
        <v>0.18846439324033995</v>
      </c>
      <c r="X69" s="5">
        <f t="shared" si="25"/>
        <v>22.7352419357561</v>
      </c>
      <c r="Y69">
        <f t="shared" si="26"/>
        <v>0.14297298797543029</v>
      </c>
      <c r="Z69" s="5">
        <f t="shared" si="27"/>
        <v>9.5332785970446907E-2</v>
      </c>
      <c r="AA69" s="5">
        <f t="shared" si="28"/>
        <v>1.9722027356322327</v>
      </c>
      <c r="AB69" s="5">
        <f t="shared" si="29"/>
        <v>0.95389061761001881</v>
      </c>
      <c r="AC69" s="5">
        <f t="shared" si="30"/>
        <v>4.6109382389981191E-2</v>
      </c>
      <c r="AD69" s="5">
        <f t="shared" si="31"/>
        <v>0.19526992795484643</v>
      </c>
      <c r="AF69" s="12">
        <f t="shared" si="17"/>
        <v>2</v>
      </c>
      <c r="AG69" s="12">
        <f t="shared" si="18"/>
        <v>0</v>
      </c>
    </row>
    <row r="70" spans="1:33" x14ac:dyDescent="0.3">
      <c r="A70" s="2">
        <v>202210</v>
      </c>
      <c r="B70" s="6">
        <v>44860</v>
      </c>
      <c r="C70" s="3">
        <v>39</v>
      </c>
      <c r="D70" s="3">
        <v>43</v>
      </c>
      <c r="E70" s="3">
        <v>51</v>
      </c>
      <c r="F70" s="3">
        <v>11</v>
      </c>
      <c r="G70" s="3">
        <v>27</v>
      </c>
      <c r="H70" s="3">
        <v>17</v>
      </c>
      <c r="I70" s="3">
        <v>51</v>
      </c>
      <c r="J70" s="3" t="s">
        <v>27</v>
      </c>
      <c r="K70" s="3" t="s">
        <v>20</v>
      </c>
      <c r="L70" s="3" t="s">
        <v>21</v>
      </c>
      <c r="N70" s="1">
        <f t="shared" si="19"/>
        <v>0.20689655172413793</v>
      </c>
      <c r="O70" s="1">
        <f t="shared" si="19"/>
        <v>0</v>
      </c>
      <c r="P70" s="1">
        <f t="shared" si="20"/>
        <v>0.5</v>
      </c>
      <c r="Q70" s="1">
        <f t="shared" si="21"/>
        <v>0.10526315789473684</v>
      </c>
      <c r="R70" s="1">
        <f t="shared" si="22"/>
        <v>6.097560975609756E-2</v>
      </c>
      <c r="S70" s="1">
        <f t="shared" si="23"/>
        <v>0.125</v>
      </c>
      <c r="T70" s="1">
        <f t="shared" si="24"/>
        <v>0.99813531937497224</v>
      </c>
      <c r="V70" s="4">
        <f>Sheet1!AB70^2</f>
        <v>0.26745432188659402</v>
      </c>
      <c r="W70" s="5">
        <f>Sheet1!AC70^2</f>
        <v>0.23313459977627091</v>
      </c>
      <c r="X70" s="5">
        <f t="shared" si="25"/>
        <v>10.430718553577167</v>
      </c>
      <c r="Y70">
        <f t="shared" si="26"/>
        <v>4.8234744781297426E-2</v>
      </c>
      <c r="Z70" s="5">
        <f t="shared" si="27"/>
        <v>0.71189629026973744</v>
      </c>
      <c r="AA70" s="5">
        <f t="shared" si="28"/>
        <v>0.32322954051043912</v>
      </c>
      <c r="AB70" s="5">
        <f t="shared" si="29"/>
        <v>0.3122611096148768</v>
      </c>
      <c r="AC70" s="5">
        <f t="shared" si="30"/>
        <v>0.68773889038512315</v>
      </c>
      <c r="AD70" s="5">
        <f t="shared" si="31"/>
        <v>0.10536455789073887</v>
      </c>
      <c r="AF70" s="12">
        <f t="shared" si="17"/>
        <v>2</v>
      </c>
      <c r="AG70" s="12">
        <f t="shared" si="18"/>
        <v>0</v>
      </c>
    </row>
    <row r="71" spans="1:33" x14ac:dyDescent="0.3">
      <c r="A71" s="2">
        <v>202210</v>
      </c>
      <c r="B71" s="6">
        <v>44859</v>
      </c>
      <c r="C71" s="3">
        <v>27</v>
      </c>
      <c r="D71" s="3">
        <v>53</v>
      </c>
      <c r="E71" s="3">
        <v>51</v>
      </c>
      <c r="F71" s="3">
        <v>9</v>
      </c>
      <c r="G71" s="3">
        <v>30</v>
      </c>
      <c r="H71" s="3">
        <v>19</v>
      </c>
      <c r="I71" s="3">
        <v>53</v>
      </c>
      <c r="J71" s="3" t="s">
        <v>19</v>
      </c>
      <c r="K71" s="3" t="s">
        <v>20</v>
      </c>
      <c r="L71" s="3" t="s">
        <v>23</v>
      </c>
      <c r="N71" s="1">
        <f t="shared" si="19"/>
        <v>0</v>
      </c>
      <c r="O71" s="1">
        <f t="shared" si="19"/>
        <v>9.5238095238095233E-2</v>
      </c>
      <c r="P71" s="1">
        <f t="shared" si="20"/>
        <v>0.5</v>
      </c>
      <c r="Q71" s="1">
        <f t="shared" si="21"/>
        <v>0</v>
      </c>
      <c r="R71" s="1">
        <f t="shared" si="22"/>
        <v>7.926829268292683E-2</v>
      </c>
      <c r="S71" s="1">
        <f t="shared" si="23"/>
        <v>0.1875</v>
      </c>
      <c r="T71" s="1">
        <f t="shared" si="24"/>
        <v>0.86200638792102202</v>
      </c>
      <c r="V71" s="4">
        <f>Sheet1!AB71^2</f>
        <v>0.26964211112158248</v>
      </c>
      <c r="W71" s="5">
        <f>Sheet1!AC71^2</f>
        <v>0.23110061243877592</v>
      </c>
      <c r="X71" s="5">
        <f t="shared" si="25"/>
        <v>7.280337000282727</v>
      </c>
      <c r="Y71">
        <f t="shared" si="26"/>
        <v>0</v>
      </c>
      <c r="Z71" s="5">
        <f t="shared" si="27"/>
        <v>0.86555224339932535</v>
      </c>
      <c r="AA71" s="5">
        <f t="shared" si="28"/>
        <v>0.30051000700944663</v>
      </c>
      <c r="AB71" s="5">
        <f t="shared" si="29"/>
        <v>0.25771351992923242</v>
      </c>
      <c r="AC71" s="5">
        <f t="shared" si="30"/>
        <v>0.74228648007076758</v>
      </c>
      <c r="AD71" s="5">
        <f t="shared" si="31"/>
        <v>0.25771351992923242</v>
      </c>
      <c r="AF71" s="12">
        <f t="shared" si="17"/>
        <v>2</v>
      </c>
      <c r="AG71" s="12">
        <f t="shared" si="18"/>
        <v>1</v>
      </c>
    </row>
    <row r="72" spans="1:33" x14ac:dyDescent="0.3">
      <c r="A72" s="2">
        <v>202210</v>
      </c>
      <c r="B72" s="6">
        <v>44858</v>
      </c>
      <c r="C72" s="3">
        <v>41</v>
      </c>
      <c r="D72" s="3">
        <v>57</v>
      </c>
      <c r="E72" s="3">
        <v>50</v>
      </c>
      <c r="F72" s="3">
        <v>10</v>
      </c>
      <c r="G72" s="3">
        <v>31</v>
      </c>
      <c r="H72" s="3">
        <v>18</v>
      </c>
      <c r="I72" s="3">
        <v>57</v>
      </c>
      <c r="J72" s="3" t="s">
        <v>19</v>
      </c>
      <c r="K72" s="3" t="s">
        <v>20</v>
      </c>
      <c r="L72" s="3" t="s">
        <v>21</v>
      </c>
      <c r="N72" s="1">
        <f t="shared" si="19"/>
        <v>0.2413793103448276</v>
      </c>
      <c r="O72" s="1">
        <f t="shared" si="19"/>
        <v>0.13333333333333333</v>
      </c>
      <c r="P72" s="1">
        <f t="shared" si="20"/>
        <v>0.41666666666666669</v>
      </c>
      <c r="Q72" s="1">
        <f t="shared" si="21"/>
        <v>5.2631578947368418E-2</v>
      </c>
      <c r="R72" s="1">
        <f t="shared" si="22"/>
        <v>8.5365853658536592E-2</v>
      </c>
      <c r="S72" s="1">
        <f t="shared" si="23"/>
        <v>0.15625</v>
      </c>
      <c r="T72" s="1">
        <f t="shared" si="24"/>
        <v>1.0856267429507325</v>
      </c>
      <c r="V72" s="4">
        <f>Sheet1!AB72^2</f>
        <v>0.25920909468705583</v>
      </c>
      <c r="W72" s="5">
        <f>Sheet1!AC72^2</f>
        <v>0.24095746628265041</v>
      </c>
      <c r="X72" s="5">
        <f t="shared" si="25"/>
        <v>10.627572882169289</v>
      </c>
      <c r="Y72">
        <f t="shared" si="26"/>
        <v>5.8162147033743207E-2</v>
      </c>
      <c r="Z72" s="5">
        <f t="shared" si="27"/>
        <v>0.60576836136574452</v>
      </c>
      <c r="AA72" s="5">
        <f t="shared" si="28"/>
        <v>0.28412433492477723</v>
      </c>
      <c r="AB72" s="5">
        <f t="shared" si="29"/>
        <v>0.31927931997771969</v>
      </c>
      <c r="AC72" s="5">
        <f t="shared" si="30"/>
        <v>0.68072068002228026</v>
      </c>
      <c r="AD72" s="5">
        <f t="shared" si="31"/>
        <v>7.7900009632892092E-2</v>
      </c>
      <c r="AF72" s="12">
        <f t="shared" si="17"/>
        <v>1</v>
      </c>
      <c r="AG72" s="12">
        <f t="shared" si="18"/>
        <v>1</v>
      </c>
    </row>
    <row r="73" spans="1:33" x14ac:dyDescent="0.3">
      <c r="A73" s="2">
        <v>202210</v>
      </c>
      <c r="B73" s="6">
        <v>44857</v>
      </c>
      <c r="C73" s="3">
        <v>52</v>
      </c>
      <c r="D73" s="3">
        <v>66</v>
      </c>
      <c r="E73" s="3">
        <v>51</v>
      </c>
      <c r="F73" s="3">
        <v>11</v>
      </c>
      <c r="G73" s="3">
        <v>45</v>
      </c>
      <c r="H73" s="3">
        <v>21</v>
      </c>
      <c r="I73" s="3">
        <v>66</v>
      </c>
      <c r="J73" s="3" t="s">
        <v>19</v>
      </c>
      <c r="K73" s="3" t="s">
        <v>20</v>
      </c>
      <c r="L73" s="3" t="s">
        <v>21</v>
      </c>
      <c r="N73" s="1">
        <f t="shared" si="19"/>
        <v>0.43103448275862066</v>
      </c>
      <c r="O73" s="1">
        <f t="shared" si="19"/>
        <v>0.21904761904761905</v>
      </c>
      <c r="P73" s="1">
        <f t="shared" si="20"/>
        <v>0.5</v>
      </c>
      <c r="Q73" s="1">
        <f t="shared" si="21"/>
        <v>0.10526315789473684</v>
      </c>
      <c r="R73" s="1">
        <f t="shared" si="22"/>
        <v>0.17073170731707318</v>
      </c>
      <c r="S73" s="1">
        <f t="shared" si="23"/>
        <v>0.25</v>
      </c>
      <c r="T73" s="1">
        <f t="shared" si="24"/>
        <v>1.6760769670180495</v>
      </c>
      <c r="V73" s="4">
        <f>Sheet1!AB73^2</f>
        <v>0.24872141748561713</v>
      </c>
      <c r="W73" s="5">
        <f>Sheet1!AC73^2</f>
        <v>0.25128186044846584</v>
      </c>
      <c r="X73" s="5">
        <f t="shared" si="25"/>
        <v>12.933513709252091</v>
      </c>
      <c r="Y73">
        <f t="shared" si="26"/>
        <v>0.10831114674502837</v>
      </c>
      <c r="Z73" s="5">
        <f t="shared" si="27"/>
        <v>0.34404648355656875</v>
      </c>
      <c r="AA73" s="5">
        <f t="shared" si="28"/>
        <v>0.58650223303079752</v>
      </c>
      <c r="AB73" s="5">
        <f t="shared" si="29"/>
        <v>0.63027568850097127</v>
      </c>
      <c r="AC73" s="5">
        <f t="shared" si="30"/>
        <v>0.36972431149902873</v>
      </c>
      <c r="AD73" s="5">
        <f t="shared" si="31"/>
        <v>0.1992412057423506</v>
      </c>
      <c r="AF73" s="12">
        <f t="shared" si="17"/>
        <v>1</v>
      </c>
      <c r="AG73" s="12">
        <f t="shared" si="18"/>
        <v>1</v>
      </c>
    </row>
    <row r="74" spans="1:33" x14ac:dyDescent="0.3">
      <c r="A74" s="2">
        <v>202210</v>
      </c>
      <c r="B74" s="6">
        <v>44856</v>
      </c>
      <c r="C74" s="3">
        <v>58</v>
      </c>
      <c r="D74" s="3">
        <v>82</v>
      </c>
      <c r="E74" s="3">
        <v>51</v>
      </c>
      <c r="F74" s="3">
        <v>19</v>
      </c>
      <c r="G74" s="3">
        <v>39</v>
      </c>
      <c r="H74" s="3">
        <v>41</v>
      </c>
      <c r="I74" s="3">
        <v>82</v>
      </c>
      <c r="J74" s="3" t="s">
        <v>19</v>
      </c>
      <c r="K74" s="3" t="s">
        <v>20</v>
      </c>
      <c r="L74" s="3" t="s">
        <v>21</v>
      </c>
      <c r="N74" s="1">
        <f t="shared" si="19"/>
        <v>0.53448275862068961</v>
      </c>
      <c r="O74" s="1">
        <f t="shared" si="19"/>
        <v>0.37142857142857144</v>
      </c>
      <c r="P74" s="1">
        <f t="shared" si="20"/>
        <v>0.5</v>
      </c>
      <c r="Q74" s="1">
        <f t="shared" si="21"/>
        <v>0.52631578947368418</v>
      </c>
      <c r="R74" s="1">
        <f t="shared" si="22"/>
        <v>0.13414634146341464</v>
      </c>
      <c r="S74" s="1">
        <f t="shared" si="23"/>
        <v>0.875</v>
      </c>
      <c r="T74" s="1">
        <f t="shared" si="24"/>
        <v>2.9413734609863598</v>
      </c>
      <c r="V74" s="4">
        <f>Sheet1!AB74^2</f>
        <v>0.45466322016588817</v>
      </c>
      <c r="W74" s="5">
        <f>Sheet1!AC74^2</f>
        <v>0.10608883190858751</v>
      </c>
      <c r="X74" s="5">
        <f t="shared" si="25"/>
        <v>26.370466769621515</v>
      </c>
      <c r="Y74">
        <f t="shared" si="26"/>
        <v>5.6702651537348492E-2</v>
      </c>
      <c r="Z74" s="5">
        <f t="shared" si="27"/>
        <v>7.8662577370636297E-2</v>
      </c>
      <c r="AA74" s="5">
        <f t="shared" si="28"/>
        <v>1.7342595541135783</v>
      </c>
      <c r="AB74" s="5">
        <f t="shared" si="29"/>
        <v>0.95661006283472516</v>
      </c>
      <c r="AC74" s="5">
        <f t="shared" si="30"/>
        <v>4.3389937165274839E-2</v>
      </c>
      <c r="AD74" s="5">
        <f t="shared" si="31"/>
        <v>0.42212730421403555</v>
      </c>
      <c r="AF74" s="12">
        <f t="shared" si="17"/>
        <v>1</v>
      </c>
      <c r="AG74" s="12">
        <f t="shared" si="18"/>
        <v>1</v>
      </c>
    </row>
    <row r="75" spans="1:33" x14ac:dyDescent="0.3">
      <c r="A75" s="2">
        <v>202210</v>
      </c>
      <c r="B75" s="6">
        <v>44855</v>
      </c>
      <c r="C75" s="3">
        <v>52</v>
      </c>
      <c r="D75" s="3">
        <v>67</v>
      </c>
      <c r="E75" s="3">
        <v>50</v>
      </c>
      <c r="F75" s="3">
        <v>16</v>
      </c>
      <c r="G75" s="3">
        <v>31</v>
      </c>
      <c r="H75" s="3">
        <v>27</v>
      </c>
      <c r="I75" s="3">
        <v>67</v>
      </c>
      <c r="J75" s="3" t="s">
        <v>19</v>
      </c>
      <c r="K75" s="3" t="s">
        <v>20</v>
      </c>
      <c r="L75" s="3" t="s">
        <v>21</v>
      </c>
      <c r="N75" s="1">
        <f t="shared" si="19"/>
        <v>0.43103448275862066</v>
      </c>
      <c r="O75" s="1">
        <f t="shared" si="19"/>
        <v>0.22857142857142856</v>
      </c>
      <c r="P75" s="1">
        <f t="shared" si="20"/>
        <v>0.41666666666666669</v>
      </c>
      <c r="Q75" s="1">
        <f t="shared" si="21"/>
        <v>0.36842105263157893</v>
      </c>
      <c r="R75" s="1">
        <f t="shared" si="22"/>
        <v>8.5365853658536592E-2</v>
      </c>
      <c r="S75" s="1">
        <f t="shared" si="23"/>
        <v>0.4375</v>
      </c>
      <c r="T75" s="1">
        <f t="shared" si="24"/>
        <v>1.9675594842868316</v>
      </c>
      <c r="V75" s="4">
        <f>Sheet1!AB75^2</f>
        <v>0.37887352215920306</v>
      </c>
      <c r="W75" s="5">
        <f>Sheet1!AC75^2</f>
        <v>0.14781946622306658</v>
      </c>
      <c r="X75" s="5">
        <f t="shared" si="25"/>
        <v>19.701423152278558</v>
      </c>
      <c r="Y75">
        <f t="shared" si="26"/>
        <v>6.3715287165114903E-2</v>
      </c>
      <c r="Z75" s="5">
        <f t="shared" si="27"/>
        <v>0.11503219116090763</v>
      </c>
      <c r="AA75" s="5">
        <f t="shared" si="28"/>
        <v>0.7460743853902978</v>
      </c>
      <c r="AB75" s="5">
        <f t="shared" si="29"/>
        <v>0.86641352616116352</v>
      </c>
      <c r="AC75" s="5">
        <f t="shared" si="30"/>
        <v>0.13358647383883648</v>
      </c>
      <c r="AD75" s="5">
        <f t="shared" si="31"/>
        <v>0.43537904340254285</v>
      </c>
      <c r="AF75" s="12">
        <f t="shared" si="17"/>
        <v>1</v>
      </c>
      <c r="AG75" s="12">
        <f t="shared" si="18"/>
        <v>1</v>
      </c>
    </row>
    <row r="76" spans="1:33" x14ac:dyDescent="0.3">
      <c r="A76" s="2">
        <v>202210</v>
      </c>
      <c r="B76" s="6">
        <v>44854</v>
      </c>
      <c r="C76" s="3">
        <v>67</v>
      </c>
      <c r="D76" s="3">
        <v>88</v>
      </c>
      <c r="E76" s="3">
        <v>51</v>
      </c>
      <c r="F76" s="3">
        <v>28</v>
      </c>
      <c r="G76" s="3">
        <v>47</v>
      </c>
      <c r="H76" s="3">
        <v>45</v>
      </c>
      <c r="I76" s="3">
        <v>88</v>
      </c>
      <c r="J76" s="3" t="s">
        <v>19</v>
      </c>
      <c r="K76" s="3" t="s">
        <v>20</v>
      </c>
      <c r="L76" s="3" t="s">
        <v>21</v>
      </c>
      <c r="N76" s="1">
        <f t="shared" si="19"/>
        <v>0.68965517241379315</v>
      </c>
      <c r="O76" s="1">
        <f t="shared" si="19"/>
        <v>0.42857142857142855</v>
      </c>
      <c r="P76" s="1">
        <f t="shared" si="20"/>
        <v>0.5</v>
      </c>
      <c r="Q76" s="1">
        <f t="shared" si="21"/>
        <v>1</v>
      </c>
      <c r="R76" s="1">
        <f t="shared" si="22"/>
        <v>0.18292682926829268</v>
      </c>
      <c r="S76" s="1">
        <f t="shared" si="23"/>
        <v>1</v>
      </c>
      <c r="T76" s="1">
        <f t="shared" si="24"/>
        <v>3.8011534302535144</v>
      </c>
      <c r="V76" s="4">
        <f>Sheet1!AB76^2</f>
        <v>0.31883866949457612</v>
      </c>
      <c r="W76" s="5">
        <f>Sheet1!AC76^2</f>
        <v>0.18952264730313279</v>
      </c>
      <c r="X76" s="5">
        <f t="shared" si="25"/>
        <v>21.3621908561366</v>
      </c>
      <c r="Y76">
        <f t="shared" si="26"/>
        <v>0.13070527400216056</v>
      </c>
      <c r="Z76" s="5">
        <f t="shared" si="27"/>
        <v>0.42200234465973385</v>
      </c>
      <c r="AA76" s="5">
        <f t="shared" si="28"/>
        <v>2.9427599510910047</v>
      </c>
      <c r="AB76" s="5">
        <f t="shared" si="29"/>
        <v>0.87458182552964625</v>
      </c>
      <c r="AC76" s="5">
        <f t="shared" si="30"/>
        <v>0.12541817447035375</v>
      </c>
      <c r="AD76" s="5">
        <f t="shared" si="31"/>
        <v>0.1849266531158531</v>
      </c>
      <c r="AF76" s="12">
        <f t="shared" si="17"/>
        <v>1</v>
      </c>
      <c r="AG76" s="12">
        <f t="shared" si="18"/>
        <v>1</v>
      </c>
    </row>
    <row r="77" spans="1:33" x14ac:dyDescent="0.3">
      <c r="A77" s="2">
        <v>202210</v>
      </c>
      <c r="B77" s="6">
        <v>44853</v>
      </c>
      <c r="C77" s="3">
        <v>64</v>
      </c>
      <c r="D77" s="3">
        <v>92</v>
      </c>
      <c r="E77" s="3">
        <v>51</v>
      </c>
      <c r="F77" s="3">
        <v>22</v>
      </c>
      <c r="G77" s="3">
        <v>42</v>
      </c>
      <c r="H77" s="3">
        <v>44</v>
      </c>
      <c r="I77" s="3">
        <v>92</v>
      </c>
      <c r="J77" s="3" t="s">
        <v>19</v>
      </c>
      <c r="K77" s="3" t="s">
        <v>20</v>
      </c>
      <c r="L77" s="3" t="s">
        <v>21</v>
      </c>
      <c r="N77" s="1">
        <f t="shared" si="19"/>
        <v>0.63793103448275867</v>
      </c>
      <c r="O77" s="1">
        <f t="shared" si="19"/>
        <v>0.46666666666666667</v>
      </c>
      <c r="P77" s="1">
        <f t="shared" si="20"/>
        <v>0.5</v>
      </c>
      <c r="Q77" s="1">
        <f t="shared" si="21"/>
        <v>0.68421052631578949</v>
      </c>
      <c r="R77" s="1">
        <f t="shared" si="22"/>
        <v>0.1524390243902439</v>
      </c>
      <c r="S77" s="1">
        <f t="shared" si="23"/>
        <v>0.96875</v>
      </c>
      <c r="T77" s="1">
        <f t="shared" si="24"/>
        <v>3.4099972518554584</v>
      </c>
      <c r="V77" s="4">
        <f>Sheet1!AB77^2</f>
        <v>0.37465533700089793</v>
      </c>
      <c r="W77" s="5">
        <f>Sheet1!AC77^2</f>
        <v>0.15047342731443647</v>
      </c>
      <c r="X77" s="5">
        <f t="shared" si="25"/>
        <v>23.977941568057467</v>
      </c>
      <c r="Y77">
        <f t="shared" si="26"/>
        <v>9.5991669148864658E-2</v>
      </c>
      <c r="Z77" s="5">
        <f t="shared" si="27"/>
        <v>0.17281643295970803</v>
      </c>
      <c r="AA77" s="5">
        <f t="shared" si="28"/>
        <v>2.3045920455123996</v>
      </c>
      <c r="AB77" s="5">
        <f t="shared" si="29"/>
        <v>0.93024306065736517</v>
      </c>
      <c r="AC77" s="5">
        <f t="shared" si="30"/>
        <v>6.9756939342634827E-2</v>
      </c>
      <c r="AD77" s="5">
        <f t="shared" si="31"/>
        <v>0.2923120261746065</v>
      </c>
      <c r="AF77" s="12">
        <f t="shared" si="17"/>
        <v>1</v>
      </c>
      <c r="AG77" s="12">
        <f t="shared" si="18"/>
        <v>1</v>
      </c>
    </row>
    <row r="78" spans="1:33" x14ac:dyDescent="0.3">
      <c r="A78" s="2">
        <v>202210</v>
      </c>
      <c r="B78" s="6">
        <v>44852</v>
      </c>
      <c r="C78" s="3">
        <v>59</v>
      </c>
      <c r="D78" s="3">
        <v>79</v>
      </c>
      <c r="E78" s="3">
        <v>50</v>
      </c>
      <c r="F78" s="3">
        <v>16</v>
      </c>
      <c r="G78" s="3">
        <v>45</v>
      </c>
      <c r="H78" s="3">
        <v>35</v>
      </c>
      <c r="I78" s="3">
        <v>79</v>
      </c>
      <c r="J78" s="3" t="s">
        <v>19</v>
      </c>
      <c r="K78" s="3" t="s">
        <v>20</v>
      </c>
      <c r="L78" s="3" t="s">
        <v>26</v>
      </c>
      <c r="N78" s="1">
        <f t="shared" si="19"/>
        <v>0.55172413793103448</v>
      </c>
      <c r="O78" s="1">
        <f t="shared" si="19"/>
        <v>0.34285714285714286</v>
      </c>
      <c r="P78" s="1">
        <f t="shared" si="20"/>
        <v>0.41666666666666669</v>
      </c>
      <c r="Q78" s="1">
        <f t="shared" si="21"/>
        <v>0.36842105263157893</v>
      </c>
      <c r="R78" s="1">
        <f t="shared" si="22"/>
        <v>0.17073170731707318</v>
      </c>
      <c r="S78" s="1">
        <f t="shared" si="23"/>
        <v>0.6875</v>
      </c>
      <c r="T78" s="1">
        <f t="shared" si="24"/>
        <v>2.5379007074034963</v>
      </c>
      <c r="V78" s="4">
        <f>Sheet1!AB78^2</f>
        <v>0.52338480590087444</v>
      </c>
      <c r="W78" s="5">
        <f>Sheet1!AC78^2</f>
        <v>7.6478028114724955E-2</v>
      </c>
      <c r="X78" s="5">
        <f t="shared" si="25"/>
        <v>30.879703548151593</v>
      </c>
      <c r="Y78">
        <f t="shared" si="26"/>
        <v>4.2194774132262046E-2</v>
      </c>
      <c r="Z78" s="5">
        <f t="shared" si="27"/>
        <v>3.4587504169994079E-2</v>
      </c>
      <c r="AA78" s="5">
        <f t="shared" si="28"/>
        <v>1.2331012938005808</v>
      </c>
      <c r="AB78" s="5">
        <f t="shared" si="29"/>
        <v>0.97271609228908174</v>
      </c>
      <c r="AC78" s="5">
        <f t="shared" si="30"/>
        <v>2.7283907710918265E-2</v>
      </c>
      <c r="AD78" s="5">
        <f t="shared" si="31"/>
        <v>0.42099195435804726</v>
      </c>
      <c r="AF78" s="12">
        <f t="shared" si="17"/>
        <v>1</v>
      </c>
      <c r="AG78" s="12">
        <f t="shared" si="18"/>
        <v>1</v>
      </c>
    </row>
    <row r="79" spans="1:33" x14ac:dyDescent="0.3">
      <c r="A79" s="2">
        <v>202210</v>
      </c>
      <c r="B79" s="6">
        <v>44851</v>
      </c>
      <c r="C79" s="3">
        <v>56</v>
      </c>
      <c r="D79" s="3">
        <v>85</v>
      </c>
      <c r="E79" s="3">
        <v>51</v>
      </c>
      <c r="F79" s="3">
        <v>13</v>
      </c>
      <c r="G79" s="3">
        <v>54</v>
      </c>
      <c r="H79" s="3">
        <v>25</v>
      </c>
      <c r="I79" s="3">
        <v>85</v>
      </c>
      <c r="J79" s="3" t="s">
        <v>19</v>
      </c>
      <c r="K79" s="3" t="s">
        <v>20</v>
      </c>
      <c r="L79" s="3" t="s">
        <v>21</v>
      </c>
      <c r="N79" s="1">
        <f t="shared" si="19"/>
        <v>0.5</v>
      </c>
      <c r="O79" s="1">
        <f t="shared" si="19"/>
        <v>0.4</v>
      </c>
      <c r="P79" s="1">
        <f t="shared" si="20"/>
        <v>0.5</v>
      </c>
      <c r="Q79" s="1">
        <f t="shared" si="21"/>
        <v>0.21052631578947367</v>
      </c>
      <c r="R79" s="1">
        <f t="shared" si="22"/>
        <v>0.22560975609756098</v>
      </c>
      <c r="S79" s="1">
        <f t="shared" si="23"/>
        <v>0.375</v>
      </c>
      <c r="T79" s="1">
        <f t="shared" si="24"/>
        <v>2.2111360718870348</v>
      </c>
      <c r="V79" s="4">
        <f>Sheet1!AB79^2</f>
        <v>0.22764923073042678</v>
      </c>
      <c r="W79" s="5">
        <f>Sheet1!AC79^2</f>
        <v>0.27339720798082467</v>
      </c>
      <c r="X79" s="5">
        <f t="shared" si="25"/>
        <v>12.7483569209039</v>
      </c>
      <c r="Y79">
        <f t="shared" si="26"/>
        <v>0.13669860399041234</v>
      </c>
      <c r="Z79" s="5">
        <f t="shared" si="27"/>
        <v>0.14510289133328175</v>
      </c>
      <c r="AA79" s="5">
        <f t="shared" si="28"/>
        <v>0.89584609168629026</v>
      </c>
      <c r="AB79" s="5">
        <f t="shared" si="29"/>
        <v>0.86060518459572433</v>
      </c>
      <c r="AC79" s="5">
        <f t="shared" si="30"/>
        <v>0.13939481540427567</v>
      </c>
      <c r="AD79" s="5">
        <f t="shared" si="31"/>
        <v>0.36060518459572433</v>
      </c>
      <c r="AF79" s="12">
        <f t="shared" si="17"/>
        <v>1</v>
      </c>
      <c r="AG79" s="12">
        <f t="shared" si="18"/>
        <v>1</v>
      </c>
    </row>
    <row r="80" spans="1:33" x14ac:dyDescent="0.3">
      <c r="A80" s="2">
        <v>202210</v>
      </c>
      <c r="B80" s="6">
        <v>44850</v>
      </c>
      <c r="C80" s="3">
        <v>62</v>
      </c>
      <c r="D80" s="3">
        <v>93</v>
      </c>
      <c r="E80" s="3">
        <v>51</v>
      </c>
      <c r="F80" s="3">
        <v>19</v>
      </c>
      <c r="G80" s="3">
        <v>52</v>
      </c>
      <c r="H80" s="3">
        <v>36</v>
      </c>
      <c r="I80" s="3">
        <v>93</v>
      </c>
      <c r="J80" s="3" t="s">
        <v>19</v>
      </c>
      <c r="K80" s="3" t="s">
        <v>20</v>
      </c>
      <c r="L80" s="3" t="s">
        <v>21</v>
      </c>
      <c r="N80" s="1">
        <f t="shared" si="19"/>
        <v>0.60344827586206895</v>
      </c>
      <c r="O80" s="1">
        <f t="shared" si="19"/>
        <v>0.47619047619047616</v>
      </c>
      <c r="P80" s="1">
        <f t="shared" si="20"/>
        <v>0.5</v>
      </c>
      <c r="Q80" s="1">
        <f t="shared" si="21"/>
        <v>0.52631578947368418</v>
      </c>
      <c r="R80" s="1">
        <f t="shared" si="22"/>
        <v>0.21341463414634146</v>
      </c>
      <c r="S80" s="1">
        <f t="shared" si="23"/>
        <v>0.71875</v>
      </c>
      <c r="T80" s="1">
        <f t="shared" si="24"/>
        <v>3.0381191756725707</v>
      </c>
      <c r="V80" s="4">
        <f>Sheet1!AB80^2</f>
        <v>0.53654993253949912</v>
      </c>
      <c r="W80" s="5">
        <f>Sheet1!AC80^2</f>
        <v>7.1558557084340862E-2</v>
      </c>
      <c r="X80" s="5">
        <f t="shared" si="25"/>
        <v>33.266095817448942</v>
      </c>
      <c r="Y80">
        <f t="shared" si="26"/>
        <v>4.3181887895722935E-2</v>
      </c>
      <c r="Z80" s="5">
        <f t="shared" si="27"/>
        <v>1.9158164441084018E-2</v>
      </c>
      <c r="AA80" s="5">
        <f t="shared" si="28"/>
        <v>1.6800628700725402</v>
      </c>
      <c r="AB80" s="5">
        <f t="shared" si="29"/>
        <v>0.98872532528025836</v>
      </c>
      <c r="AC80" s="5">
        <f t="shared" si="30"/>
        <v>1.127467471974164E-2</v>
      </c>
      <c r="AD80" s="5">
        <f t="shared" si="31"/>
        <v>0.38527704941818941</v>
      </c>
      <c r="AF80" s="12">
        <f t="shared" si="17"/>
        <v>1</v>
      </c>
      <c r="AG80" s="12">
        <f t="shared" si="18"/>
        <v>1</v>
      </c>
    </row>
    <row r="81" spans="1:33" x14ac:dyDescent="0.3">
      <c r="A81" s="2">
        <v>202210</v>
      </c>
      <c r="B81" s="6">
        <v>44849</v>
      </c>
      <c r="C81" s="3">
        <v>55</v>
      </c>
      <c r="D81" s="3">
        <v>78</v>
      </c>
      <c r="E81" s="3">
        <v>51</v>
      </c>
      <c r="F81" s="3">
        <v>13</v>
      </c>
      <c r="G81" s="3">
        <v>58</v>
      </c>
      <c r="H81" s="3">
        <v>27</v>
      </c>
      <c r="I81" s="3">
        <v>78</v>
      </c>
      <c r="J81" s="3" t="s">
        <v>19</v>
      </c>
      <c r="K81" s="3" t="s">
        <v>20</v>
      </c>
      <c r="L81" s="3" t="s">
        <v>21</v>
      </c>
      <c r="N81" s="1">
        <f t="shared" si="19"/>
        <v>0.48275862068965519</v>
      </c>
      <c r="O81" s="1">
        <f t="shared" si="19"/>
        <v>0.33333333333333331</v>
      </c>
      <c r="P81" s="1">
        <f t="shared" si="20"/>
        <v>0.5</v>
      </c>
      <c r="Q81" s="1">
        <f t="shared" si="21"/>
        <v>0.21052631578947367</v>
      </c>
      <c r="R81" s="1">
        <f t="shared" si="22"/>
        <v>0.25</v>
      </c>
      <c r="S81" s="1">
        <f t="shared" si="23"/>
        <v>0.4375</v>
      </c>
      <c r="T81" s="1">
        <f t="shared" si="24"/>
        <v>2.2141182698124622</v>
      </c>
      <c r="V81" s="4">
        <f>Sheet1!AB81^2</f>
        <v>0.26947314632524666</v>
      </c>
      <c r="W81" s="5">
        <f>Sheet1!AC81^2</f>
        <v>0.23125708725999283</v>
      </c>
      <c r="X81" s="5">
        <f t="shared" si="25"/>
        <v>14.821023047888566</v>
      </c>
      <c r="Y81">
        <f t="shared" si="26"/>
        <v>0.11164135247034138</v>
      </c>
      <c r="Z81" s="5">
        <f t="shared" si="27"/>
        <v>0.13398730493659589</v>
      </c>
      <c r="AA81" s="5">
        <f t="shared" si="28"/>
        <v>0.89239457660117871</v>
      </c>
      <c r="AB81" s="5">
        <f t="shared" si="29"/>
        <v>0.8694566736351097</v>
      </c>
      <c r="AC81" s="5">
        <f t="shared" si="30"/>
        <v>0.1305433263648903</v>
      </c>
      <c r="AD81" s="5">
        <f t="shared" si="31"/>
        <v>0.38669805294545451</v>
      </c>
      <c r="AF81" s="12">
        <f t="shared" si="17"/>
        <v>1</v>
      </c>
      <c r="AG81" s="12">
        <f t="shared" si="18"/>
        <v>1</v>
      </c>
    </row>
    <row r="82" spans="1:33" x14ac:dyDescent="0.3">
      <c r="A82" s="2">
        <v>202210</v>
      </c>
      <c r="B82" s="6">
        <v>44848</v>
      </c>
      <c r="C82" s="3">
        <v>67</v>
      </c>
      <c r="D82" s="3">
        <v>94</v>
      </c>
      <c r="E82" s="3">
        <v>50</v>
      </c>
      <c r="F82" s="3">
        <v>28</v>
      </c>
      <c r="G82" s="3">
        <v>47</v>
      </c>
      <c r="H82" s="3">
        <v>45</v>
      </c>
      <c r="I82" s="3">
        <v>94</v>
      </c>
      <c r="J82" s="3" t="s">
        <v>19</v>
      </c>
      <c r="K82" s="3" t="s">
        <v>20</v>
      </c>
      <c r="L82" s="3" t="s">
        <v>21</v>
      </c>
      <c r="N82" s="1">
        <f t="shared" si="19"/>
        <v>0.68965517241379315</v>
      </c>
      <c r="O82" s="1">
        <f t="shared" si="19"/>
        <v>0.48571428571428571</v>
      </c>
      <c r="P82" s="1">
        <f t="shared" si="20"/>
        <v>0.41666666666666669</v>
      </c>
      <c r="Q82" s="1">
        <f t="shared" si="21"/>
        <v>1</v>
      </c>
      <c r="R82" s="1">
        <f t="shared" si="22"/>
        <v>0.18292682926829268</v>
      </c>
      <c r="S82" s="1">
        <f t="shared" si="23"/>
        <v>1</v>
      </c>
      <c r="T82" s="1">
        <f t="shared" si="24"/>
        <v>3.7749629540630383</v>
      </c>
      <c r="V82" s="4">
        <f>Sheet1!AB82^2</f>
        <v>0.31327359270600463</v>
      </c>
      <c r="W82" s="5">
        <f>Sheet1!AC82^2</f>
        <v>0.1938566146214222</v>
      </c>
      <c r="X82" s="5">
        <f t="shared" si="25"/>
        <v>20.989330711302312</v>
      </c>
      <c r="Y82">
        <f t="shared" si="26"/>
        <v>0.13369421698029119</v>
      </c>
      <c r="Z82" s="5">
        <f t="shared" si="27"/>
        <v>0.42899557821231349</v>
      </c>
      <c r="AA82" s="5">
        <f t="shared" si="28"/>
        <v>2.9186159601612998</v>
      </c>
      <c r="AB82" s="5">
        <f t="shared" si="29"/>
        <v>0.87185025105370073</v>
      </c>
      <c r="AC82" s="5">
        <f t="shared" si="30"/>
        <v>0.12814974894629927</v>
      </c>
      <c r="AD82" s="5">
        <f t="shared" si="31"/>
        <v>0.18219507863990758</v>
      </c>
      <c r="AF82" s="12">
        <f t="shared" si="17"/>
        <v>1</v>
      </c>
      <c r="AG82" s="12">
        <f t="shared" si="18"/>
        <v>1</v>
      </c>
    </row>
    <row r="83" spans="1:33" x14ac:dyDescent="0.3">
      <c r="A83" s="2">
        <v>202210</v>
      </c>
      <c r="B83" s="6">
        <v>44847</v>
      </c>
      <c r="C83" s="3">
        <v>63</v>
      </c>
      <c r="D83" s="3">
        <v>91</v>
      </c>
      <c r="E83" s="3">
        <v>52</v>
      </c>
      <c r="F83" s="3">
        <v>17</v>
      </c>
      <c r="G83" s="3">
        <v>54</v>
      </c>
      <c r="H83" s="3">
        <v>36</v>
      </c>
      <c r="I83" s="3">
        <v>91</v>
      </c>
      <c r="J83" s="3" t="s">
        <v>19</v>
      </c>
      <c r="K83" s="3" t="s">
        <v>20</v>
      </c>
      <c r="L83" s="3" t="s">
        <v>21</v>
      </c>
      <c r="N83" s="1">
        <f t="shared" si="19"/>
        <v>0.62068965517241381</v>
      </c>
      <c r="O83" s="1">
        <f t="shared" si="19"/>
        <v>0.45714285714285713</v>
      </c>
      <c r="P83" s="1">
        <f t="shared" si="20"/>
        <v>0.58333333333333337</v>
      </c>
      <c r="Q83" s="1">
        <f t="shared" si="21"/>
        <v>0.42105263157894735</v>
      </c>
      <c r="R83" s="1">
        <f t="shared" si="22"/>
        <v>0.22560975609756098</v>
      </c>
      <c r="S83" s="1">
        <f t="shared" si="23"/>
        <v>0.71875</v>
      </c>
      <c r="T83" s="1">
        <f t="shared" si="24"/>
        <v>3.0265782333251128</v>
      </c>
      <c r="V83" s="4">
        <f>Sheet1!AB83^2</f>
        <v>0.4814514877073609</v>
      </c>
      <c r="W83" s="5">
        <f>Sheet1!AC83^2</f>
        <v>9.3717381032222796E-2</v>
      </c>
      <c r="X83" s="5">
        <f t="shared" si="25"/>
        <v>30.331443725563737</v>
      </c>
      <c r="Y83">
        <f t="shared" si="26"/>
        <v>5.8169408916552083E-2</v>
      </c>
      <c r="Z83" s="5">
        <f t="shared" si="27"/>
        <v>3.5744750874169687E-2</v>
      </c>
      <c r="AA83" s="5">
        <f t="shared" si="28"/>
        <v>1.6792996607585202</v>
      </c>
      <c r="AB83" s="5">
        <f t="shared" si="29"/>
        <v>0.9791581193864588</v>
      </c>
      <c r="AC83" s="5">
        <f t="shared" si="30"/>
        <v>2.0841880613541197E-2</v>
      </c>
      <c r="AD83" s="5">
        <f t="shared" si="31"/>
        <v>0.35846846421404499</v>
      </c>
      <c r="AF83" s="12">
        <f t="shared" si="17"/>
        <v>1</v>
      </c>
      <c r="AG83" s="12">
        <f t="shared" si="18"/>
        <v>1</v>
      </c>
    </row>
    <row r="84" spans="1:33" x14ac:dyDescent="0.3">
      <c r="A84" s="2">
        <v>202210</v>
      </c>
      <c r="B84" s="6">
        <v>44846</v>
      </c>
      <c r="C84" s="3">
        <v>70</v>
      </c>
      <c r="D84" s="3">
        <v>97</v>
      </c>
      <c r="E84" s="3">
        <v>54</v>
      </c>
      <c r="F84" s="3">
        <v>27</v>
      </c>
      <c r="G84" s="3">
        <v>44</v>
      </c>
      <c r="H84" s="3">
        <v>42</v>
      </c>
      <c r="I84" s="3">
        <v>97</v>
      </c>
      <c r="J84" s="3" t="s">
        <v>19</v>
      </c>
      <c r="K84" s="3" t="s">
        <v>20</v>
      </c>
      <c r="L84" s="3" t="s">
        <v>21</v>
      </c>
      <c r="N84" s="1">
        <f t="shared" si="19"/>
        <v>0.74137931034482762</v>
      </c>
      <c r="O84" s="1">
        <f t="shared" si="19"/>
        <v>0.51428571428571423</v>
      </c>
      <c r="P84" s="1">
        <f t="shared" si="20"/>
        <v>0.75</v>
      </c>
      <c r="Q84" s="1">
        <f t="shared" si="21"/>
        <v>0.94736842105263153</v>
      </c>
      <c r="R84" s="1">
        <f t="shared" si="22"/>
        <v>0.16463414634146342</v>
      </c>
      <c r="S84" s="1">
        <f t="shared" si="23"/>
        <v>0.90625</v>
      </c>
      <c r="T84" s="1">
        <f t="shared" si="24"/>
        <v>4.0239175920246364</v>
      </c>
      <c r="V84" s="4">
        <f>Sheet1!AB84^2</f>
        <v>0.31604985152838316</v>
      </c>
      <c r="W84" s="5">
        <f>Sheet1!AC84^2</f>
        <v>0.19168362733204392</v>
      </c>
      <c r="X84" s="5">
        <f t="shared" si="25"/>
        <v>22.123489606986823</v>
      </c>
      <c r="Y84">
        <f t="shared" si="26"/>
        <v>0.14211027543582566</v>
      </c>
      <c r="Z84" s="5">
        <f t="shared" si="27"/>
        <v>0.40234954305606674</v>
      </c>
      <c r="AA84" s="5">
        <f t="shared" si="28"/>
        <v>3.122533467575078</v>
      </c>
      <c r="AB84" s="5">
        <f t="shared" si="29"/>
        <v>0.88585449734287081</v>
      </c>
      <c r="AC84" s="5">
        <f t="shared" si="30"/>
        <v>0.11414550265712919</v>
      </c>
      <c r="AD84" s="5">
        <f t="shared" si="31"/>
        <v>0.14447518699804318</v>
      </c>
      <c r="AF84" s="12">
        <f t="shared" si="17"/>
        <v>1</v>
      </c>
      <c r="AG84" s="12">
        <f t="shared" si="18"/>
        <v>0</v>
      </c>
    </row>
    <row r="85" spans="1:33" ht="27.6" x14ac:dyDescent="0.3">
      <c r="A85" s="2">
        <v>202210</v>
      </c>
      <c r="B85" s="6">
        <v>44845</v>
      </c>
      <c r="C85" s="3">
        <v>77</v>
      </c>
      <c r="D85" s="3">
        <v>126</v>
      </c>
      <c r="E85" s="3">
        <v>51</v>
      </c>
      <c r="F85" s="3">
        <v>23</v>
      </c>
      <c r="G85" s="3">
        <v>59</v>
      </c>
      <c r="H85" s="3">
        <v>45</v>
      </c>
      <c r="I85" s="3">
        <v>126</v>
      </c>
      <c r="J85" s="3" t="s">
        <v>19</v>
      </c>
      <c r="K85" s="3" t="s">
        <v>22</v>
      </c>
      <c r="L85" s="3" t="s">
        <v>21</v>
      </c>
      <c r="N85" s="1">
        <f t="shared" si="19"/>
        <v>0.86206896551724133</v>
      </c>
      <c r="O85" s="1">
        <f t="shared" si="19"/>
        <v>0.79047619047619044</v>
      </c>
      <c r="P85" s="1">
        <f t="shared" si="20"/>
        <v>0.5</v>
      </c>
      <c r="Q85" s="1">
        <f t="shared" si="21"/>
        <v>0.73684210526315785</v>
      </c>
      <c r="R85" s="1">
        <f t="shared" si="22"/>
        <v>0.25609756097560976</v>
      </c>
      <c r="S85" s="1">
        <f t="shared" si="23"/>
        <v>1</v>
      </c>
      <c r="T85" s="1">
        <f t="shared" si="24"/>
        <v>4.1454848222321994</v>
      </c>
      <c r="V85" s="4">
        <f>Sheet1!AB85^2</f>
        <v>0.27957733264894313</v>
      </c>
      <c r="W85" s="5">
        <f>Sheet1!AC85^2</f>
        <v>0.22207587610348167</v>
      </c>
      <c r="X85" s="5">
        <f t="shared" si="25"/>
        <v>21.527454613968622</v>
      </c>
      <c r="Y85">
        <f t="shared" si="26"/>
        <v>0.19144472077886349</v>
      </c>
      <c r="Z85" s="5">
        <f t="shared" si="27"/>
        <v>0.43762336971460869</v>
      </c>
      <c r="AA85" s="5">
        <f t="shared" si="28"/>
        <v>3.2265377578440155</v>
      </c>
      <c r="AB85" s="5">
        <f t="shared" si="29"/>
        <v>0.88056655958080354</v>
      </c>
      <c r="AC85" s="5">
        <f t="shared" si="30"/>
        <v>0.11943344041919646</v>
      </c>
      <c r="AD85" s="5">
        <f t="shared" si="31"/>
        <v>1.8497594063562217E-2</v>
      </c>
      <c r="AF85" s="12">
        <f t="shared" si="17"/>
        <v>1</v>
      </c>
      <c r="AG85" s="12">
        <f t="shared" si="18"/>
        <v>1</v>
      </c>
    </row>
    <row r="86" spans="1:33" x14ac:dyDescent="0.3">
      <c r="A86" s="2">
        <v>202210</v>
      </c>
      <c r="B86" s="6">
        <v>44844</v>
      </c>
      <c r="C86" s="3">
        <v>54</v>
      </c>
      <c r="D86" s="3">
        <v>74</v>
      </c>
      <c r="E86" s="3">
        <v>50</v>
      </c>
      <c r="F86" s="3">
        <v>14</v>
      </c>
      <c r="G86" s="3">
        <v>38</v>
      </c>
      <c r="H86" s="3">
        <v>25</v>
      </c>
      <c r="I86" s="3">
        <v>74</v>
      </c>
      <c r="J86" s="3" t="s">
        <v>19</v>
      </c>
      <c r="K86" s="3" t="s">
        <v>20</v>
      </c>
      <c r="L86" s="3" t="s">
        <v>21</v>
      </c>
      <c r="N86" s="1">
        <f t="shared" si="19"/>
        <v>0.46551724137931033</v>
      </c>
      <c r="O86" s="1">
        <f t="shared" si="19"/>
        <v>0.29523809523809524</v>
      </c>
      <c r="P86" s="1">
        <f t="shared" si="20"/>
        <v>0.41666666666666669</v>
      </c>
      <c r="Q86" s="1">
        <f t="shared" si="21"/>
        <v>0.26315789473684209</v>
      </c>
      <c r="R86" s="1">
        <f t="shared" si="22"/>
        <v>0.12804878048780488</v>
      </c>
      <c r="S86" s="1">
        <f t="shared" si="23"/>
        <v>0.375</v>
      </c>
      <c r="T86" s="1">
        <f t="shared" si="24"/>
        <v>1.9436286785087193</v>
      </c>
      <c r="V86" s="4">
        <f>Sheet1!AB86^2</f>
        <v>0.30015682648318276</v>
      </c>
      <c r="W86" s="5">
        <f>Sheet1!AC86^2</f>
        <v>0.20442542420763832</v>
      </c>
      <c r="X86" s="5">
        <f t="shared" si="25"/>
        <v>16.208468630091868</v>
      </c>
      <c r="Y86">
        <f t="shared" si="26"/>
        <v>9.5163559544935078E-2</v>
      </c>
      <c r="Z86" s="5">
        <f t="shared" si="27"/>
        <v>0.14264184842495567</v>
      </c>
      <c r="AA86" s="5">
        <f t="shared" si="28"/>
        <v>0.70375651375907378</v>
      </c>
      <c r="AB86" s="5">
        <f t="shared" si="29"/>
        <v>0.83147197017621177</v>
      </c>
      <c r="AC86" s="5">
        <f t="shared" si="30"/>
        <v>0.16852802982378823</v>
      </c>
      <c r="AD86" s="5">
        <f t="shared" si="31"/>
        <v>0.36595472879690144</v>
      </c>
      <c r="AF86" s="12">
        <f t="shared" si="17"/>
        <v>1</v>
      </c>
      <c r="AG86" s="12">
        <f t="shared" si="18"/>
        <v>1</v>
      </c>
    </row>
    <row r="87" spans="1:33" x14ac:dyDescent="0.3">
      <c r="A87" s="2">
        <v>202210</v>
      </c>
      <c r="B87" s="6">
        <v>44843</v>
      </c>
      <c r="C87" s="3">
        <v>58</v>
      </c>
      <c r="D87" s="3">
        <v>95</v>
      </c>
      <c r="E87" s="3">
        <v>50</v>
      </c>
      <c r="F87" s="3">
        <v>24</v>
      </c>
      <c r="G87" s="3">
        <v>39</v>
      </c>
      <c r="H87" s="3">
        <v>35</v>
      </c>
      <c r="I87" s="3">
        <v>95</v>
      </c>
      <c r="J87" s="3" t="s">
        <v>19</v>
      </c>
      <c r="K87" s="3" t="s">
        <v>20</v>
      </c>
      <c r="L87" s="3" t="s">
        <v>21</v>
      </c>
      <c r="N87" s="1">
        <f t="shared" si="19"/>
        <v>0.53448275862068961</v>
      </c>
      <c r="O87" s="1">
        <f t="shared" si="19"/>
        <v>0.49523809523809526</v>
      </c>
      <c r="P87" s="1">
        <f t="shared" si="20"/>
        <v>0.41666666666666669</v>
      </c>
      <c r="Q87" s="1">
        <f t="shared" si="21"/>
        <v>0.78947368421052633</v>
      </c>
      <c r="R87" s="1">
        <f t="shared" si="22"/>
        <v>0.13414634146341464</v>
      </c>
      <c r="S87" s="1">
        <f t="shared" si="23"/>
        <v>0.6875</v>
      </c>
      <c r="T87" s="1">
        <f t="shared" si="24"/>
        <v>3.0575075461993926</v>
      </c>
      <c r="V87" s="4">
        <f>Sheet1!AB87^2</f>
        <v>0.38810978077242353</v>
      </c>
      <c r="W87" s="5">
        <f>Sheet1!AC87^2</f>
        <v>0.14214063063679752</v>
      </c>
      <c r="X87" s="5">
        <f t="shared" si="25"/>
        <v>22.510367284800566</v>
      </c>
      <c r="Y87">
        <f t="shared" si="26"/>
        <v>7.5971716374840043E-2</v>
      </c>
      <c r="Z87" s="5">
        <f t="shared" si="27"/>
        <v>0.1026630136441751</v>
      </c>
      <c r="AA87" s="5">
        <f t="shared" si="28"/>
        <v>1.8184638903379111</v>
      </c>
      <c r="AB87" s="5">
        <f t="shared" si="29"/>
        <v>0.94656104527432494</v>
      </c>
      <c r="AC87" s="5">
        <f t="shared" si="30"/>
        <v>5.3438954725675059E-2</v>
      </c>
      <c r="AD87" s="5">
        <f t="shared" si="31"/>
        <v>0.41207828665363533</v>
      </c>
      <c r="AF87" s="12">
        <f t="shared" si="17"/>
        <v>1</v>
      </c>
      <c r="AG87" s="12">
        <f t="shared" si="18"/>
        <v>1</v>
      </c>
    </row>
    <row r="88" spans="1:33" x14ac:dyDescent="0.3">
      <c r="A88" s="2">
        <v>202210</v>
      </c>
      <c r="B88" s="6">
        <v>44842</v>
      </c>
      <c r="C88" s="3">
        <v>35</v>
      </c>
      <c r="D88" s="3">
        <v>61</v>
      </c>
      <c r="E88" s="3">
        <v>50</v>
      </c>
      <c r="F88" s="3">
        <v>17</v>
      </c>
      <c r="G88" s="3">
        <v>28</v>
      </c>
      <c r="H88" s="3">
        <v>25</v>
      </c>
      <c r="I88" s="3">
        <v>61</v>
      </c>
      <c r="J88" s="3" t="s">
        <v>19</v>
      </c>
      <c r="K88" s="3" t="s">
        <v>20</v>
      </c>
      <c r="L88" s="3" t="s">
        <v>24</v>
      </c>
      <c r="N88" s="1">
        <f t="shared" si="19"/>
        <v>0.13793103448275862</v>
      </c>
      <c r="O88" s="1">
        <f t="shared" si="19"/>
        <v>0.17142857142857143</v>
      </c>
      <c r="P88" s="1">
        <f t="shared" si="20"/>
        <v>0.41666666666666669</v>
      </c>
      <c r="Q88" s="1">
        <f t="shared" si="21"/>
        <v>0.42105263157894735</v>
      </c>
      <c r="R88" s="1">
        <f t="shared" si="22"/>
        <v>6.7073170731707321E-2</v>
      </c>
      <c r="S88" s="1">
        <f t="shared" si="23"/>
        <v>0.375</v>
      </c>
      <c r="T88" s="1">
        <f t="shared" si="24"/>
        <v>1.5891520748886514</v>
      </c>
      <c r="V88" s="4">
        <f>Sheet1!AB88^2</f>
        <v>0.32182569576179948</v>
      </c>
      <c r="W88" s="5">
        <f>Sheet1!AC88^2</f>
        <v>0.18723203147171633</v>
      </c>
      <c r="X88" s="5">
        <f t="shared" si="25"/>
        <v>11.263899351662982</v>
      </c>
      <c r="Y88">
        <f t="shared" si="26"/>
        <v>2.5825107789202252E-2</v>
      </c>
      <c r="Z88" s="5">
        <f t="shared" si="27"/>
        <v>0.32497750575917894</v>
      </c>
      <c r="AA88" s="5">
        <f t="shared" si="28"/>
        <v>0.5444329652781974</v>
      </c>
      <c r="AB88" s="5">
        <f t="shared" si="29"/>
        <v>0.62620934922555349</v>
      </c>
      <c r="AC88" s="5">
        <f t="shared" si="30"/>
        <v>0.37379065077444651</v>
      </c>
      <c r="AD88" s="5">
        <f t="shared" si="31"/>
        <v>0.48827831474279487</v>
      </c>
      <c r="AF88" s="12">
        <f t="shared" si="17"/>
        <v>1</v>
      </c>
      <c r="AG88" s="12">
        <f t="shared" si="18"/>
        <v>1</v>
      </c>
    </row>
    <row r="89" spans="1:33" x14ac:dyDescent="0.3">
      <c r="A89" s="2">
        <v>202210</v>
      </c>
      <c r="B89" s="6">
        <v>44841</v>
      </c>
      <c r="C89" s="3">
        <v>51</v>
      </c>
      <c r="D89" s="3">
        <v>66</v>
      </c>
      <c r="E89" s="3">
        <v>53</v>
      </c>
      <c r="F89" s="3">
        <v>17</v>
      </c>
      <c r="G89" s="3">
        <v>35</v>
      </c>
      <c r="H89" s="3">
        <v>34</v>
      </c>
      <c r="I89" s="3">
        <v>66</v>
      </c>
      <c r="J89" s="3" t="s">
        <v>19</v>
      </c>
      <c r="K89" s="3" t="s">
        <v>20</v>
      </c>
      <c r="L89" s="3" t="s">
        <v>26</v>
      </c>
      <c r="N89" s="1">
        <f t="shared" si="19"/>
        <v>0.41379310344827586</v>
      </c>
      <c r="O89" s="1">
        <f t="shared" si="19"/>
        <v>0.21904761904761905</v>
      </c>
      <c r="P89" s="1">
        <f t="shared" si="20"/>
        <v>0.66666666666666663</v>
      </c>
      <c r="Q89" s="1">
        <f t="shared" si="21"/>
        <v>0.42105263157894735</v>
      </c>
      <c r="R89" s="1">
        <f t="shared" si="22"/>
        <v>0.10975609756097561</v>
      </c>
      <c r="S89" s="1">
        <f t="shared" si="23"/>
        <v>0.65625</v>
      </c>
      <c r="T89" s="1">
        <f t="shared" si="24"/>
        <v>2.4865661183024845</v>
      </c>
      <c r="V89" s="4">
        <f>Sheet1!AB89^2</f>
        <v>0.43153696776865602</v>
      </c>
      <c r="W89" s="5">
        <f>Sheet1!AC89^2</f>
        <v>0.11770749973461012</v>
      </c>
      <c r="X89" s="5">
        <f t="shared" si="25"/>
        <v>22.008385356201458</v>
      </c>
      <c r="Y89">
        <f t="shared" si="26"/>
        <v>4.8706551614321428E-2</v>
      </c>
      <c r="Z89" s="5">
        <f t="shared" si="27"/>
        <v>0.11415103588424062</v>
      </c>
      <c r="AA89" s="5">
        <f t="shared" si="28"/>
        <v>1.283646818327602</v>
      </c>
      <c r="AB89" s="5">
        <f t="shared" si="29"/>
        <v>0.91833509005591829</v>
      </c>
      <c r="AC89" s="5">
        <f t="shared" si="30"/>
        <v>8.1664909944081709E-2</v>
      </c>
      <c r="AD89" s="5">
        <f t="shared" si="31"/>
        <v>0.50454198660764238</v>
      </c>
      <c r="AF89" s="12">
        <f t="shared" si="17"/>
        <v>1</v>
      </c>
      <c r="AG89" s="12">
        <f t="shared" si="18"/>
        <v>1</v>
      </c>
    </row>
    <row r="90" spans="1:33" x14ac:dyDescent="0.3">
      <c r="A90" s="2">
        <v>202210</v>
      </c>
      <c r="B90" s="6">
        <v>44840</v>
      </c>
      <c r="C90" s="3">
        <v>61</v>
      </c>
      <c r="D90" s="3">
        <v>89</v>
      </c>
      <c r="E90" s="3">
        <v>51</v>
      </c>
      <c r="F90" s="3">
        <v>20</v>
      </c>
      <c r="G90" s="3">
        <v>39</v>
      </c>
      <c r="H90" s="3">
        <v>32</v>
      </c>
      <c r="I90" s="3">
        <v>89</v>
      </c>
      <c r="J90" s="3" t="s">
        <v>19</v>
      </c>
      <c r="K90" s="3" t="s">
        <v>20</v>
      </c>
      <c r="L90" s="3" t="s">
        <v>21</v>
      </c>
      <c r="N90" s="1">
        <f t="shared" si="19"/>
        <v>0.58620689655172409</v>
      </c>
      <c r="O90" s="1">
        <f t="shared" si="19"/>
        <v>0.43809523809523809</v>
      </c>
      <c r="P90" s="1">
        <f t="shared" si="20"/>
        <v>0.5</v>
      </c>
      <c r="Q90" s="1">
        <f t="shared" si="21"/>
        <v>0.57894736842105265</v>
      </c>
      <c r="R90" s="1">
        <f t="shared" si="22"/>
        <v>0.13414634146341464</v>
      </c>
      <c r="S90" s="1">
        <f t="shared" si="23"/>
        <v>0.59375</v>
      </c>
      <c r="T90" s="1">
        <f t="shared" si="24"/>
        <v>2.8311458445314295</v>
      </c>
      <c r="V90" s="4">
        <f>Sheet1!AB90^2</f>
        <v>0.64774735770682013</v>
      </c>
      <c r="W90" s="5">
        <f>Sheet1!AC90^2</f>
        <v>3.8092291915617603E-2</v>
      </c>
      <c r="X90" s="5">
        <f t="shared" si="25"/>
        <v>39.512588820116029</v>
      </c>
      <c r="Y90">
        <f t="shared" si="26"/>
        <v>2.2329964226396524E-2</v>
      </c>
      <c r="Z90" s="5">
        <f t="shared" si="27"/>
        <v>8.9775664908285993E-3</v>
      </c>
      <c r="AA90" s="5">
        <f t="shared" si="28"/>
        <v>1.4912803220362083</v>
      </c>
      <c r="AB90" s="5">
        <f t="shared" si="29"/>
        <v>0.99401598447874673</v>
      </c>
      <c r="AC90" s="5">
        <f t="shared" si="30"/>
        <v>5.984015521253272E-3</v>
      </c>
      <c r="AD90" s="5">
        <f t="shared" si="31"/>
        <v>0.40780908792702264</v>
      </c>
      <c r="AF90" s="12">
        <f t="shared" si="17"/>
        <v>1</v>
      </c>
      <c r="AG90" s="12">
        <f t="shared" si="18"/>
        <v>1</v>
      </c>
    </row>
    <row r="91" spans="1:33" x14ac:dyDescent="0.3">
      <c r="A91" s="2">
        <v>202210</v>
      </c>
      <c r="B91" s="6">
        <v>44839</v>
      </c>
      <c r="C91" s="3">
        <v>51</v>
      </c>
      <c r="D91" s="3">
        <v>68</v>
      </c>
      <c r="E91" s="3">
        <v>50</v>
      </c>
      <c r="F91" s="3">
        <v>22</v>
      </c>
      <c r="G91" s="3">
        <v>36</v>
      </c>
      <c r="H91" s="3">
        <v>42</v>
      </c>
      <c r="I91" s="3">
        <v>68</v>
      </c>
      <c r="J91" s="3" t="s">
        <v>19</v>
      </c>
      <c r="K91" s="3" t="s">
        <v>20</v>
      </c>
      <c r="L91" s="3" t="s">
        <v>21</v>
      </c>
      <c r="N91" s="1">
        <f t="shared" si="19"/>
        <v>0.41379310344827586</v>
      </c>
      <c r="O91" s="1">
        <f t="shared" si="19"/>
        <v>0.23809523809523808</v>
      </c>
      <c r="P91" s="1">
        <f t="shared" si="20"/>
        <v>0.41666666666666669</v>
      </c>
      <c r="Q91" s="1">
        <f t="shared" si="21"/>
        <v>0.68421052631578949</v>
      </c>
      <c r="R91" s="1">
        <f t="shared" si="22"/>
        <v>0.11585365853658537</v>
      </c>
      <c r="S91" s="1">
        <f t="shared" si="23"/>
        <v>0.90625</v>
      </c>
      <c r="T91" s="1">
        <f t="shared" si="24"/>
        <v>2.774869193062556</v>
      </c>
      <c r="V91" s="4">
        <f>Sheet1!AB91^2</f>
        <v>0.39259273310125031</v>
      </c>
      <c r="W91" s="5">
        <f>Sheet1!AC91^2</f>
        <v>0.13944831508511391</v>
      </c>
      <c r="X91" s="5">
        <f t="shared" si="25"/>
        <v>20.022229388163765</v>
      </c>
      <c r="Y91">
        <f t="shared" si="26"/>
        <v>5.7702751069702303E-2</v>
      </c>
      <c r="Z91" s="5">
        <f t="shared" si="27"/>
        <v>0.19092304497147972</v>
      </c>
      <c r="AA91" s="5">
        <f t="shared" si="28"/>
        <v>1.7043803629937362</v>
      </c>
      <c r="AB91" s="5">
        <f t="shared" si="29"/>
        <v>0.89926518141153278</v>
      </c>
      <c r="AC91" s="5">
        <f t="shared" si="30"/>
        <v>0.10073481858846722</v>
      </c>
      <c r="AD91" s="5">
        <f t="shared" si="31"/>
        <v>0.48547207796325692</v>
      </c>
      <c r="AF91" s="12">
        <f t="shared" si="17"/>
        <v>1</v>
      </c>
      <c r="AG91" s="12">
        <f t="shared" si="18"/>
        <v>1</v>
      </c>
    </row>
    <row r="92" spans="1:33" x14ac:dyDescent="0.3">
      <c r="A92" s="2">
        <v>202210</v>
      </c>
      <c r="B92" s="6">
        <v>44838</v>
      </c>
      <c r="C92" s="3">
        <v>67</v>
      </c>
      <c r="D92" s="3">
        <v>98</v>
      </c>
      <c r="E92" s="3">
        <v>51</v>
      </c>
      <c r="F92" s="3">
        <v>15</v>
      </c>
      <c r="G92" s="3">
        <v>40</v>
      </c>
      <c r="H92" s="3">
        <v>33</v>
      </c>
      <c r="I92" s="3">
        <v>98</v>
      </c>
      <c r="J92" s="3" t="s">
        <v>19</v>
      </c>
      <c r="K92" s="3" t="s">
        <v>20</v>
      </c>
      <c r="L92" s="3" t="s">
        <v>21</v>
      </c>
      <c r="N92" s="1">
        <f t="shared" si="19"/>
        <v>0.68965517241379315</v>
      </c>
      <c r="O92" s="1">
        <f t="shared" si="19"/>
        <v>0.52380952380952384</v>
      </c>
      <c r="P92" s="1">
        <f t="shared" si="20"/>
        <v>0.5</v>
      </c>
      <c r="Q92" s="1">
        <f t="shared" si="21"/>
        <v>0.31578947368421051</v>
      </c>
      <c r="R92" s="1">
        <f t="shared" si="22"/>
        <v>0.1402439024390244</v>
      </c>
      <c r="S92" s="1">
        <f t="shared" si="23"/>
        <v>0.625</v>
      </c>
      <c r="T92" s="1">
        <f t="shared" si="24"/>
        <v>2.7944980723465518</v>
      </c>
      <c r="V92" s="4">
        <f>Sheet1!AB92^2</f>
        <v>0.38464125340838329</v>
      </c>
      <c r="W92" s="5">
        <f>Sheet1!AC92^2</f>
        <v>0.14425219604229497</v>
      </c>
      <c r="X92" s="5">
        <f t="shared" si="25"/>
        <v>25.770963978361682</v>
      </c>
      <c r="Y92">
        <f t="shared" si="26"/>
        <v>9.9484273132617235E-2</v>
      </c>
      <c r="Z92" s="5">
        <f t="shared" si="27"/>
        <v>5.8911365776488749E-2</v>
      </c>
      <c r="AA92" s="5">
        <f t="shared" si="28"/>
        <v>1.510017017931736</v>
      </c>
      <c r="AB92" s="5">
        <f t="shared" si="29"/>
        <v>0.96245120785102412</v>
      </c>
      <c r="AC92" s="5">
        <f t="shared" si="30"/>
        <v>3.7548792148975885E-2</v>
      </c>
      <c r="AD92" s="5">
        <f t="shared" si="31"/>
        <v>0.27279603543723097</v>
      </c>
      <c r="AF92" s="12">
        <f t="shared" si="17"/>
        <v>1</v>
      </c>
      <c r="AG92" s="12">
        <f t="shared" si="18"/>
        <v>1</v>
      </c>
    </row>
    <row r="93" spans="1:33" x14ac:dyDescent="0.3">
      <c r="A93" s="2">
        <v>202210</v>
      </c>
      <c r="B93" s="6">
        <v>44837</v>
      </c>
      <c r="C93" s="3">
        <v>56</v>
      </c>
      <c r="D93" s="3">
        <v>76</v>
      </c>
      <c r="E93" s="3">
        <v>51</v>
      </c>
      <c r="F93" s="3">
        <v>18</v>
      </c>
      <c r="G93" s="3">
        <v>38</v>
      </c>
      <c r="H93" s="3">
        <v>35</v>
      </c>
      <c r="I93" s="3">
        <v>76</v>
      </c>
      <c r="J93" s="3" t="s">
        <v>19</v>
      </c>
      <c r="K93" s="3" t="s">
        <v>20</v>
      </c>
      <c r="L93" s="3" t="s">
        <v>24</v>
      </c>
      <c r="N93" s="1">
        <f t="shared" si="19"/>
        <v>0.5</v>
      </c>
      <c r="O93" s="1">
        <f t="shared" si="19"/>
        <v>0.31428571428571428</v>
      </c>
      <c r="P93" s="1">
        <f t="shared" si="20"/>
        <v>0.5</v>
      </c>
      <c r="Q93" s="1">
        <f t="shared" si="21"/>
        <v>0.47368421052631576</v>
      </c>
      <c r="R93" s="1">
        <f t="shared" si="22"/>
        <v>0.12804878048780488</v>
      </c>
      <c r="S93" s="1">
        <f t="shared" si="23"/>
        <v>0.6875</v>
      </c>
      <c r="T93" s="1">
        <f t="shared" si="24"/>
        <v>2.6035187052998348</v>
      </c>
      <c r="V93" s="4">
        <f>Sheet1!AB93^2</f>
        <v>0.5661969475070826</v>
      </c>
      <c r="W93" s="5">
        <f>Sheet1!AC93^2</f>
        <v>6.1275756870067762E-2</v>
      </c>
      <c r="X93" s="5">
        <f t="shared" si="25"/>
        <v>31.707029060396625</v>
      </c>
      <c r="Y93">
        <f t="shared" si="26"/>
        <v>3.0637878435033881E-2</v>
      </c>
      <c r="Z93" s="5">
        <f t="shared" si="27"/>
        <v>2.6714840701738997E-2</v>
      </c>
      <c r="AA93" s="5">
        <f t="shared" si="28"/>
        <v>1.3122049816904346</v>
      </c>
      <c r="AB93" s="5">
        <f t="shared" si="29"/>
        <v>0.9800474679252944</v>
      </c>
      <c r="AC93" s="5">
        <f t="shared" si="30"/>
        <v>1.9952532074705598E-2</v>
      </c>
      <c r="AD93" s="5">
        <f t="shared" si="31"/>
        <v>0.4800474679252944</v>
      </c>
      <c r="AF93" s="12">
        <f t="shared" si="17"/>
        <v>1</v>
      </c>
      <c r="AG93" s="12">
        <f t="shared" si="18"/>
        <v>1</v>
      </c>
    </row>
    <row r="94" spans="1:33" x14ac:dyDescent="0.3">
      <c r="A94" s="2">
        <v>202210</v>
      </c>
      <c r="B94" s="6">
        <v>44836</v>
      </c>
      <c r="C94" s="3">
        <v>54</v>
      </c>
      <c r="D94" s="3">
        <v>79</v>
      </c>
      <c r="E94" s="3">
        <v>50</v>
      </c>
      <c r="F94" s="3">
        <v>12</v>
      </c>
      <c r="G94" s="3">
        <v>43</v>
      </c>
      <c r="H94" s="3">
        <v>19</v>
      </c>
      <c r="I94" s="3">
        <v>79</v>
      </c>
      <c r="J94" s="3" t="s">
        <v>19</v>
      </c>
      <c r="K94" s="3" t="s">
        <v>20</v>
      </c>
      <c r="L94" s="3" t="s">
        <v>21</v>
      </c>
      <c r="N94" s="1">
        <f t="shared" si="19"/>
        <v>0.46551724137931033</v>
      </c>
      <c r="O94" s="1">
        <f t="shared" si="19"/>
        <v>0.34285714285714286</v>
      </c>
      <c r="P94" s="1">
        <f t="shared" si="20"/>
        <v>0.41666666666666669</v>
      </c>
      <c r="Q94" s="1">
        <f t="shared" si="21"/>
        <v>0.15789473684210525</v>
      </c>
      <c r="R94" s="1">
        <f t="shared" si="22"/>
        <v>0.15853658536585366</v>
      </c>
      <c r="S94" s="1">
        <f t="shared" si="23"/>
        <v>0.1875</v>
      </c>
      <c r="T94" s="1">
        <f t="shared" si="24"/>
        <v>1.7289723731110789</v>
      </c>
      <c r="V94" s="4">
        <f>Sheet1!AB94^2</f>
        <v>0.21582759957124076</v>
      </c>
      <c r="W94" s="5">
        <f>Sheet1!AC94^2</f>
        <v>0.2866826171896088</v>
      </c>
      <c r="X94" s="5">
        <f t="shared" si="25"/>
        <v>11.654690376847</v>
      </c>
      <c r="Y94">
        <f t="shared" si="26"/>
        <v>0.13345570110550753</v>
      </c>
      <c r="Z94" s="5">
        <f t="shared" si="27"/>
        <v>0.31327365011173236</v>
      </c>
      <c r="AA94" s="5">
        <f t="shared" si="28"/>
        <v>0.59308928036257968</v>
      </c>
      <c r="AB94" s="5">
        <f t="shared" si="29"/>
        <v>0.65436180190225568</v>
      </c>
      <c r="AC94" s="5">
        <f t="shared" si="30"/>
        <v>0.34563819809774432</v>
      </c>
      <c r="AD94" s="5">
        <f t="shared" si="31"/>
        <v>0.18884456052294535</v>
      </c>
      <c r="AF94" s="12">
        <f t="shared" si="17"/>
        <v>1</v>
      </c>
      <c r="AG94" s="12">
        <f t="shared" si="18"/>
        <v>0</v>
      </c>
    </row>
    <row r="95" spans="1:33" ht="27.6" x14ac:dyDescent="0.3">
      <c r="A95" s="2">
        <v>202210</v>
      </c>
      <c r="B95" s="6">
        <v>44835</v>
      </c>
      <c r="C95" s="3">
        <v>80</v>
      </c>
      <c r="D95" s="3">
        <v>128</v>
      </c>
      <c r="E95" s="3">
        <v>52</v>
      </c>
      <c r="F95" s="3">
        <v>14</v>
      </c>
      <c r="G95" s="3">
        <v>39</v>
      </c>
      <c r="H95" s="3">
        <v>21</v>
      </c>
      <c r="I95" s="3">
        <v>128</v>
      </c>
      <c r="J95" s="3" t="s">
        <v>19</v>
      </c>
      <c r="K95" s="3" t="s">
        <v>22</v>
      </c>
      <c r="L95" s="3" t="s">
        <v>21</v>
      </c>
      <c r="N95" s="1">
        <f t="shared" si="19"/>
        <v>0.91379310344827591</v>
      </c>
      <c r="O95" s="1">
        <f t="shared" si="19"/>
        <v>0.80952380952380953</v>
      </c>
      <c r="P95" s="1">
        <f t="shared" si="20"/>
        <v>0.58333333333333337</v>
      </c>
      <c r="Q95" s="1">
        <f t="shared" si="21"/>
        <v>0.26315789473684209</v>
      </c>
      <c r="R95" s="1">
        <f t="shared" si="22"/>
        <v>0.13414634146341464</v>
      </c>
      <c r="S95" s="1">
        <f t="shared" si="23"/>
        <v>0.25</v>
      </c>
      <c r="T95" s="1">
        <f t="shared" si="24"/>
        <v>2.9539544825056758</v>
      </c>
      <c r="V95" s="4">
        <f>Sheet1!AB95^2</f>
        <v>0.17825560486191808</v>
      </c>
      <c r="W95" s="5">
        <f>Sheet1!AC95^2</f>
        <v>0.33384905618546912</v>
      </c>
      <c r="X95" s="5">
        <f t="shared" si="25"/>
        <v>14.260448388953446</v>
      </c>
      <c r="Y95">
        <f t="shared" si="26"/>
        <v>0.30506896513499765</v>
      </c>
      <c r="Z95" s="5">
        <f t="shared" si="27"/>
        <v>0.46023045658133532</v>
      </c>
      <c r="AA95" s="5">
        <f t="shared" si="28"/>
        <v>1.9803717303636965</v>
      </c>
      <c r="AB95" s="5">
        <f t="shared" si="29"/>
        <v>0.81142749971988748</v>
      </c>
      <c r="AC95" s="5">
        <f t="shared" si="30"/>
        <v>0.18857250028011252</v>
      </c>
      <c r="AD95" s="5">
        <f t="shared" si="31"/>
        <v>0.10236560372838843</v>
      </c>
      <c r="AF95" s="12">
        <f t="shared" si="17"/>
        <v>1</v>
      </c>
      <c r="AG95" s="12">
        <f t="shared" si="18"/>
        <v>1</v>
      </c>
    </row>
    <row r="96" spans="1:33" x14ac:dyDescent="0.3">
      <c r="A96" s="2">
        <v>202210</v>
      </c>
      <c r="B96" s="6">
        <v>44861</v>
      </c>
      <c r="C96" s="3">
        <v>41</v>
      </c>
      <c r="D96" s="3">
        <v>66</v>
      </c>
      <c r="E96" s="3">
        <v>51</v>
      </c>
      <c r="F96" s="3">
        <v>18</v>
      </c>
      <c r="G96" s="3">
        <v>35</v>
      </c>
      <c r="H96" s="3">
        <v>27</v>
      </c>
      <c r="I96" s="3">
        <v>66</v>
      </c>
      <c r="J96" s="3" t="s">
        <v>19</v>
      </c>
      <c r="K96" s="3" t="s">
        <v>20</v>
      </c>
      <c r="L96" s="3" t="s">
        <v>21</v>
      </c>
      <c r="N96" s="1">
        <f t="shared" si="19"/>
        <v>0.2413793103448276</v>
      </c>
      <c r="O96" s="1">
        <f t="shared" si="19"/>
        <v>0.21904761904761905</v>
      </c>
      <c r="P96" s="1">
        <f t="shared" si="20"/>
        <v>0.5</v>
      </c>
      <c r="Q96" s="1">
        <f t="shared" si="21"/>
        <v>0.47368421052631576</v>
      </c>
      <c r="R96" s="1">
        <f t="shared" si="22"/>
        <v>0.10975609756097561</v>
      </c>
      <c r="S96" s="1">
        <f t="shared" si="23"/>
        <v>0.4375</v>
      </c>
      <c r="T96" s="1">
        <f t="shared" si="24"/>
        <v>1.9813672374797382</v>
      </c>
      <c r="V96" s="4">
        <f>Sheet1!AB96^2</f>
        <v>0.36149193512157191</v>
      </c>
      <c r="W96" s="5">
        <f>Sheet1!AC96^2</f>
        <v>0.15900794749999544</v>
      </c>
      <c r="X96" s="5">
        <f t="shared" si="25"/>
        <v>14.821169339984449</v>
      </c>
      <c r="Y96">
        <f t="shared" si="26"/>
        <v>3.8381228706895455E-2</v>
      </c>
      <c r="Z96" s="5">
        <f t="shared" si="27"/>
        <v>0.18355757228583963</v>
      </c>
      <c r="AA96" s="5">
        <f t="shared" si="28"/>
        <v>0.7840752131267289</v>
      </c>
      <c r="AB96" s="5">
        <f t="shared" si="29"/>
        <v>0.81030244628640147</v>
      </c>
      <c r="AC96" s="5">
        <f t="shared" si="30"/>
        <v>0.18969755371359853</v>
      </c>
      <c r="AD96" s="5">
        <f t="shared" si="31"/>
        <v>0.56892313594157384</v>
      </c>
      <c r="AF96" s="12">
        <f t="shared" si="17"/>
        <v>1</v>
      </c>
      <c r="AG96" s="12">
        <f t="shared" si="18"/>
        <v>1</v>
      </c>
    </row>
    <row r="97" spans="1:33" x14ac:dyDescent="0.3">
      <c r="A97" s="2">
        <v>202210</v>
      </c>
      <c r="B97" s="6">
        <v>44862</v>
      </c>
      <c r="C97" s="3">
        <v>54</v>
      </c>
      <c r="D97" s="3">
        <v>77</v>
      </c>
      <c r="E97" s="3">
        <v>51</v>
      </c>
      <c r="F97" s="3">
        <v>16</v>
      </c>
      <c r="G97" s="3">
        <v>33</v>
      </c>
      <c r="H97" s="3">
        <v>32</v>
      </c>
      <c r="I97" s="3">
        <v>77</v>
      </c>
      <c r="J97" s="3" t="s">
        <v>19</v>
      </c>
      <c r="K97" s="3" t="s">
        <v>20</v>
      </c>
      <c r="L97" s="3" t="s">
        <v>21</v>
      </c>
      <c r="N97" s="1">
        <f t="shared" si="19"/>
        <v>0.46551724137931033</v>
      </c>
      <c r="O97" s="1">
        <f t="shared" si="19"/>
        <v>0.32380952380952382</v>
      </c>
      <c r="P97" s="1">
        <f t="shared" si="20"/>
        <v>0.5</v>
      </c>
      <c r="Q97" s="1">
        <f t="shared" si="21"/>
        <v>0.36842105263157893</v>
      </c>
      <c r="R97" s="1">
        <f t="shared" si="22"/>
        <v>9.7560975609756101E-2</v>
      </c>
      <c r="S97" s="1">
        <f t="shared" si="23"/>
        <v>0.59375</v>
      </c>
      <c r="T97" s="1">
        <f t="shared" si="24"/>
        <v>2.349058793430169</v>
      </c>
      <c r="V97" s="4">
        <f>Sheet1!AB97^2</f>
        <v>0.53397375838585059</v>
      </c>
      <c r="W97" s="5">
        <f>Sheet1!AC97^2</f>
        <v>7.2503596684489566E-2</v>
      </c>
      <c r="X97" s="5">
        <f t="shared" si="25"/>
        <v>28.83458295283593</v>
      </c>
      <c r="Y97">
        <f t="shared" si="26"/>
        <v>3.3751674318641692E-2</v>
      </c>
      <c r="Z97" s="5">
        <f t="shared" si="27"/>
        <v>4.3939433309897177E-2</v>
      </c>
      <c r="AA97" s="5">
        <f t="shared" si="28"/>
        <v>1.0693501882152416</v>
      </c>
      <c r="AB97" s="5">
        <f t="shared" si="29"/>
        <v>0.96053189353395496</v>
      </c>
      <c r="AC97" s="5">
        <f t="shared" si="30"/>
        <v>3.9468106466045039E-2</v>
      </c>
      <c r="AD97" s="5">
        <f t="shared" si="31"/>
        <v>0.49501465215464463</v>
      </c>
      <c r="AF97" s="12">
        <f t="shared" si="17"/>
        <v>1</v>
      </c>
      <c r="AG97" s="12">
        <f t="shared" si="18"/>
        <v>0</v>
      </c>
    </row>
    <row r="98" spans="1:33" x14ac:dyDescent="0.3">
      <c r="A98" s="2">
        <v>202210</v>
      </c>
      <c r="B98" s="6">
        <v>44863</v>
      </c>
      <c r="C98" s="3">
        <v>53</v>
      </c>
      <c r="D98" s="3">
        <v>86</v>
      </c>
      <c r="E98" s="3">
        <v>51</v>
      </c>
      <c r="F98" s="3">
        <v>15</v>
      </c>
      <c r="G98" s="3">
        <v>41</v>
      </c>
      <c r="H98" s="3">
        <v>29</v>
      </c>
      <c r="I98" s="3">
        <v>86</v>
      </c>
      <c r="J98" s="3" t="s">
        <v>19</v>
      </c>
      <c r="K98" s="3" t="s">
        <v>20</v>
      </c>
      <c r="L98" s="3" t="s">
        <v>21</v>
      </c>
      <c r="N98" s="1">
        <f t="shared" si="19"/>
        <v>0.44827586206896552</v>
      </c>
      <c r="O98" s="1">
        <f t="shared" si="19"/>
        <v>0.40952380952380951</v>
      </c>
      <c r="P98" s="1">
        <f t="shared" si="20"/>
        <v>0.5</v>
      </c>
      <c r="Q98" s="1">
        <f t="shared" si="21"/>
        <v>0.31578947368421051</v>
      </c>
      <c r="R98" s="1">
        <f t="shared" si="22"/>
        <v>0.14634146341463414</v>
      </c>
      <c r="S98" s="1">
        <f t="shared" si="23"/>
        <v>0.5</v>
      </c>
      <c r="T98" s="1">
        <f t="shared" si="24"/>
        <v>2.31993060869162</v>
      </c>
      <c r="V98" s="4">
        <f>Sheet1!AB98^2</f>
        <v>0.44273328571930376</v>
      </c>
      <c r="W98" s="5">
        <f>Sheet1!AC98^2</f>
        <v>0.11196916579525988</v>
      </c>
      <c r="X98" s="5">
        <f t="shared" si="25"/>
        <v>23.464864143123098</v>
      </c>
      <c r="Y98">
        <f t="shared" si="26"/>
        <v>5.0193074322013052E-2</v>
      </c>
      <c r="Z98" s="5">
        <f t="shared" si="27"/>
        <v>6.0263043043530959E-2</v>
      </c>
      <c r="AA98" s="5">
        <f t="shared" si="28"/>
        <v>0.98979981468465494</v>
      </c>
      <c r="AB98" s="5">
        <f t="shared" si="29"/>
        <v>0.94261006129298763</v>
      </c>
      <c r="AC98" s="5">
        <f t="shared" si="30"/>
        <v>5.7389938707012367E-2</v>
      </c>
      <c r="AD98" s="5">
        <f t="shared" si="31"/>
        <v>0.49433419922402211</v>
      </c>
      <c r="AF98" s="12">
        <f t="shared" si="17"/>
        <v>2</v>
      </c>
      <c r="AG98" s="12">
        <f t="shared" si="18"/>
        <v>0</v>
      </c>
    </row>
    <row r="99" spans="1:33" x14ac:dyDescent="0.3">
      <c r="AD99" s="9">
        <f>(SUMSQ(AB2:AB99) + SUMSQ(AC2:AC99)) / 98</f>
        <v>0.77341374170997923</v>
      </c>
      <c r="AG99">
        <f>SUM(AG2:AG98) / 99</f>
        <v>0.60606060606060608</v>
      </c>
    </row>
    <row r="102" spans="1:33" x14ac:dyDescent="0.3">
      <c r="C102">
        <f>SUM(X2:X99) / SUM(V2:V99)</f>
        <v>61.009559881652052</v>
      </c>
      <c r="N102">
        <f>SUMPRODUCT($V$2:$V$99, $V$2:$V$99, N2:N99) / SUMPRODUCT($V$2:$V$99, $V$2:$V$99)</f>
        <v>0.56811256601996729</v>
      </c>
      <c r="O102">
        <f t="shared" ref="O102:S102" si="32">SUMPRODUCT($V$2:$V$99, $V$2:$V$99, O2:O99) / SUMPRODUCT($V$2:$V$99, $V$2:$V$99)</f>
        <v>0.42721370236724737</v>
      </c>
      <c r="P102">
        <f t="shared" si="32"/>
        <v>0.47976988565982193</v>
      </c>
      <c r="Q102">
        <f t="shared" si="32"/>
        <v>0.49779307202469797</v>
      </c>
      <c r="R102">
        <f t="shared" si="32"/>
        <v>0.17104451125114412</v>
      </c>
      <c r="S102">
        <f t="shared" si="32"/>
        <v>0.60697881665714726</v>
      </c>
    </row>
    <row r="103" spans="1:33" x14ac:dyDescent="0.3">
      <c r="C103">
        <f>SUM(Y2:Y99) / SUM(W2:W99)</f>
        <v>0.64682850040011819</v>
      </c>
    </row>
  </sheetData>
  <conditionalFormatting sqref="AD1:AD9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98">
    <cfRule type="cellIs" dxfId="8" priority="1" operator="equal">
      <formula>2</formula>
    </cfRule>
    <cfRule type="cellIs" dxfId="7" priority="2" operator="equal">
      <formula>1</formula>
    </cfRule>
  </conditionalFormatting>
  <conditionalFormatting sqref="AG2:AG9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{26413ABE-CDB6-45AB-97CD-A09AB023CF37}</x14:id>
        </ext>
      </extLst>
    </cfRule>
  </conditionalFormatting>
  <conditionalFormatting sqref="AG2:AG99">
    <cfRule type="cellIs" dxfId="6" priority="4" operator="equal">
      <formula>1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413ABE-CDB6-45AB-97CD-A09AB023CF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AG2:AG98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D4CA-BC86-43EE-80CE-22DCBD4F67E5}">
  <sheetPr>
    <tabColor rgb="FFFFC000"/>
  </sheetPr>
  <dimension ref="A1:AG101"/>
  <sheetViews>
    <sheetView showGridLines="0" topLeftCell="A61" zoomScale="47" workbookViewId="0">
      <selection activeCell="AE2" sqref="AE2"/>
    </sheetView>
  </sheetViews>
  <sheetFormatPr defaultRowHeight="14.4" x14ac:dyDescent="0.3"/>
  <cols>
    <col min="1" max="1" width="9.33203125" customWidth="1"/>
    <col min="2" max="2" width="10.77734375" customWidth="1"/>
    <col min="3" max="3" width="8.5546875" customWidth="1"/>
    <col min="4" max="4" width="11.6640625" customWidth="1"/>
    <col min="5" max="5" width="5.33203125" customWidth="1"/>
    <col min="6" max="6" width="5.109375" customWidth="1"/>
    <col min="7" max="7" width="9" customWidth="1"/>
    <col min="8" max="9" width="5.21875" customWidth="1"/>
    <col min="10" max="10" width="7.109375" customWidth="1"/>
    <col min="11" max="11" width="9" customWidth="1"/>
    <col min="12" max="12" width="13.21875" customWidth="1"/>
    <col min="14" max="15" width="9.109375" customWidth="1"/>
    <col min="16" max="16" width="16.44140625" customWidth="1"/>
    <col min="17" max="17" width="15.44140625" customWidth="1"/>
    <col min="18" max="19" width="9.109375" customWidth="1"/>
    <col min="20" max="20" width="12.6640625" customWidth="1"/>
    <col min="22" max="22" width="12.21875" bestFit="1" customWidth="1"/>
    <col min="23" max="23" width="13.44140625" customWidth="1"/>
    <col min="24" max="24" width="11.88671875" customWidth="1"/>
    <col min="25" max="25" width="12.6640625" customWidth="1"/>
    <col min="26" max="26" width="11.77734375" customWidth="1"/>
    <col min="27" max="27" width="8.77734375" customWidth="1"/>
    <col min="28" max="28" width="9.77734375" customWidth="1"/>
    <col min="29" max="29" width="11.33203125" customWidth="1"/>
    <col min="30" max="30" width="12.21875" bestFit="1" customWidth="1"/>
    <col min="33" max="33" width="13.33203125" bestFit="1" customWidth="1"/>
  </cols>
  <sheetData>
    <row r="1" spans="1:33" ht="28.8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V1" s="20" t="s">
        <v>28</v>
      </c>
      <c r="W1" s="20" t="s">
        <v>29</v>
      </c>
      <c r="X1" s="20" t="s">
        <v>30</v>
      </c>
      <c r="Y1" s="20" t="s">
        <v>31</v>
      </c>
      <c r="Z1" s="20" t="s">
        <v>32</v>
      </c>
      <c r="AA1" s="20" t="s">
        <v>33</v>
      </c>
      <c r="AB1" s="20" t="s">
        <v>34</v>
      </c>
      <c r="AC1" s="20" t="s">
        <v>47</v>
      </c>
      <c r="AD1" s="20" t="s">
        <v>35</v>
      </c>
      <c r="AF1" s="20" t="s">
        <v>36</v>
      </c>
      <c r="AG1" s="20" t="s">
        <v>37</v>
      </c>
    </row>
    <row r="2" spans="1:33" x14ac:dyDescent="0.3">
      <c r="A2" s="2">
        <v>202212</v>
      </c>
      <c r="B2" s="3">
        <v>44926.625</v>
      </c>
      <c r="C2" s="3">
        <v>54</v>
      </c>
      <c r="D2" s="3">
        <v>73</v>
      </c>
      <c r="E2" s="3">
        <v>56</v>
      </c>
      <c r="F2" s="3">
        <v>24</v>
      </c>
      <c r="G2" s="3">
        <v>23</v>
      </c>
      <c r="H2" s="3">
        <v>24</v>
      </c>
      <c r="I2" s="3">
        <v>73</v>
      </c>
      <c r="J2" s="3" t="s">
        <v>19</v>
      </c>
      <c r="K2" s="3" t="s">
        <v>20</v>
      </c>
      <c r="L2" s="3" t="s">
        <v>21</v>
      </c>
      <c r="N2" s="1">
        <f t="shared" ref="N2:S2" si="0">(C2-MIN(C$2:C$99))/(MAX(C$2:C$99)-MIN(C$2:C$99))</f>
        <v>0.46551724137931033</v>
      </c>
      <c r="O2" s="1">
        <f t="shared" si="0"/>
        <v>0.2857142857142857</v>
      </c>
      <c r="P2" s="1">
        <f t="shared" si="0"/>
        <v>0.91666666666666663</v>
      </c>
      <c r="Q2" s="1">
        <f t="shared" si="0"/>
        <v>0.78947368421052633</v>
      </c>
      <c r="R2" s="1">
        <f t="shared" si="0"/>
        <v>3.6585365853658534E-2</v>
      </c>
      <c r="S2" s="1">
        <f t="shared" si="0"/>
        <v>0.34375</v>
      </c>
      <c r="T2" s="1">
        <f>SUM(N2:S2)</f>
        <v>2.8377072438244473</v>
      </c>
      <c r="V2" s="1">
        <f>Sheet2!AB2^2</f>
        <v>0.68374524276930215</v>
      </c>
      <c r="W2" s="1">
        <f>Sheet2!AC2^2</f>
        <v>2.9967455073141139E-2</v>
      </c>
      <c r="X2" s="1">
        <f>V2 * C2</f>
        <v>36.922243109542315</v>
      </c>
      <c r="Y2" s="1">
        <f>W2 * C2</f>
        <v>1.6182425739496216</v>
      </c>
      <c r="Z2" s="1">
        <f>(C2-59.49)^2+(D2-91.87)^2+(E2-47.26)^2+(F2-18.3)^2+(G2-63.54)^2+(H2-28.77)^2</f>
        <v>2161.3391000000001</v>
      </c>
      <c r="AA2" s="1">
        <f>(C2-59.97)^2+(D2-93.18)^2+(E2-48.72)^2+(F2-18.4)^2+(G2-50.48)^2+(H2-28.96)^2</f>
        <v>1306.9837000000002</v>
      </c>
      <c r="AB2" s="1">
        <f>IF(Z2=0,1,IF(AA2=0,0,(1/Z2)/((1/Z2)+(1/AA2))))</f>
        <v>0.37683450340896762</v>
      </c>
      <c r="AC2" s="1">
        <f>1-AB2</f>
        <v>0.62316549659103238</v>
      </c>
      <c r="AD2" s="1">
        <f>ABS(AB2 - Sheet2!AB2)</f>
        <v>0.45005439043911288</v>
      </c>
      <c r="AF2" s="15">
        <f>IF(AB2 &gt; AC2, 1, 2)</f>
        <v>2</v>
      </c>
      <c r="AG2" s="15">
        <f>IF(OR(AND(AF2=1, K2="SEDANG"), AND(AF2=2, K2="TIDAK SEHAT")), 1, 0)</f>
        <v>0</v>
      </c>
    </row>
    <row r="3" spans="1:33" x14ac:dyDescent="0.3">
      <c r="A3" s="2">
        <v>202212</v>
      </c>
      <c r="B3" s="6">
        <v>44925</v>
      </c>
      <c r="C3" s="3">
        <v>40</v>
      </c>
      <c r="D3" s="3">
        <v>64</v>
      </c>
      <c r="E3" s="3">
        <v>57</v>
      </c>
      <c r="F3" s="3">
        <v>21</v>
      </c>
      <c r="G3" s="3">
        <v>17</v>
      </c>
      <c r="H3" s="3">
        <v>24</v>
      </c>
      <c r="I3" s="3">
        <v>64</v>
      </c>
      <c r="J3" s="3" t="s">
        <v>19</v>
      </c>
      <c r="K3" s="3" t="s">
        <v>20</v>
      </c>
      <c r="L3" s="3" t="s">
        <v>21</v>
      </c>
      <c r="N3" s="1">
        <f t="shared" ref="N3:N66" si="1">(C3-MIN(C$2:C$99))/(MAX(C$2:C$99)-MIN(C$2:C$99))</f>
        <v>0.22413793103448276</v>
      </c>
      <c r="O3" s="1">
        <f t="shared" ref="O3:O66" si="2">(D3-MIN(D$2:D$99))/(MAX(D$2:D$99)-MIN(D$2:D$99))</f>
        <v>0.2</v>
      </c>
      <c r="P3" s="1">
        <f t="shared" ref="P3:P66" si="3">(E3-MIN(E$2:E$99))/(MAX(E$2:E$99)-MIN(E$2:E$99))</f>
        <v>1</v>
      </c>
      <c r="Q3" s="1">
        <f t="shared" ref="Q3:Q66" si="4">(F3-MIN(F$2:F$99))/(MAX(F$2:F$99)-MIN(F$2:F$99))</f>
        <v>0.63157894736842102</v>
      </c>
      <c r="R3" s="1">
        <f t="shared" ref="R3:R66" si="5">(G3-MIN(G$2:G$99))/(MAX(G$2:G$99)-MIN(G$2:G$99))</f>
        <v>0</v>
      </c>
      <c r="S3" s="1">
        <f t="shared" ref="S3:S66" si="6">(H3-MIN(H$2:H$99))/(MAX(H$2:H$99)-MIN(H$2:H$99))</f>
        <v>0.34375</v>
      </c>
      <c r="T3" s="1">
        <f t="shared" ref="T3:T66" si="7">SUM(N3:S3)</f>
        <v>2.3994668784029036</v>
      </c>
      <c r="V3" s="1">
        <f>Sheet2!AB3^2</f>
        <v>0.55150158293861506</v>
      </c>
      <c r="W3" s="1">
        <f>Sheet2!AC3^2</f>
        <v>6.6238531572137341E-2</v>
      </c>
      <c r="X3" s="1">
        <f t="shared" ref="X3:X66" si="8">V3 * C3</f>
        <v>22.060063317544603</v>
      </c>
      <c r="Y3" s="1">
        <f t="shared" ref="Y3:Y66" si="9">W3 * C3</f>
        <v>2.6495412628854935</v>
      </c>
      <c r="Z3" s="1">
        <f t="shared" ref="Z3:Z66" si="10">(C3-59.49)^2+(D3-91.87)^2+(E3-47.26)^2+(F3-18.3)^2+(G3-63.54)^2+(H3-28.77)^2</f>
        <v>3447.4791</v>
      </c>
      <c r="AA3" s="1">
        <f t="shared" ref="AA3:AA66" si="11">(C3-59.97)^2+(D3-93.18)^2+(E3-48.72)^2+(F3-18.4)^2+(G3-50.48)^2+(H3-28.96)^2</f>
        <v>2471.1037000000001</v>
      </c>
      <c r="AB3" s="1">
        <f t="shared" ref="AB3:AB66" si="12">IF(Z3=0,1,IF(AA3=0,0,(1/Z3)/((1/Z3)+(1/AA3))))</f>
        <v>0.41751611551332862</v>
      </c>
      <c r="AC3" s="1">
        <f t="shared" ref="AC3:AC66" si="13">1-AB3</f>
        <v>0.58248388448667132</v>
      </c>
      <c r="AD3" s="1">
        <f>ABS(AB3 - Sheet2!AB3)</f>
        <v>0.32511541016991025</v>
      </c>
      <c r="AF3" s="15">
        <f t="shared" ref="AF3:AF66" si="14">IF(AB3 &gt; AC3, 1, 2)</f>
        <v>2</v>
      </c>
      <c r="AG3" s="15">
        <f t="shared" ref="AG3:AG66" si="15">IF(OR(AND(AF3=1, K3="SEDANG"), AND(AF3=2, K3="TIDAK SEHAT")), 1, 0)</f>
        <v>0</v>
      </c>
    </row>
    <row r="4" spans="1:33" ht="27.6" x14ac:dyDescent="0.3">
      <c r="A4" s="2">
        <v>202207</v>
      </c>
      <c r="B4" s="6">
        <v>44748</v>
      </c>
      <c r="C4" s="3">
        <v>75</v>
      </c>
      <c r="D4" s="3">
        <v>129</v>
      </c>
      <c r="E4" s="3">
        <v>45</v>
      </c>
      <c r="F4" s="3">
        <v>25</v>
      </c>
      <c r="G4" s="3">
        <v>71</v>
      </c>
      <c r="H4" s="3">
        <v>26</v>
      </c>
      <c r="I4" s="3">
        <v>129</v>
      </c>
      <c r="J4" s="3" t="s">
        <v>19</v>
      </c>
      <c r="K4" s="3" t="s">
        <v>22</v>
      </c>
      <c r="L4" s="3" t="s">
        <v>21</v>
      </c>
      <c r="N4" s="1">
        <f t="shared" si="1"/>
        <v>0.82758620689655171</v>
      </c>
      <c r="O4" s="1">
        <f t="shared" si="2"/>
        <v>0.81904761904761902</v>
      </c>
      <c r="P4" s="1">
        <f t="shared" si="3"/>
        <v>0</v>
      </c>
      <c r="Q4" s="1">
        <f t="shared" si="4"/>
        <v>0.84210526315789469</v>
      </c>
      <c r="R4" s="1">
        <f t="shared" si="5"/>
        <v>0.32926829268292684</v>
      </c>
      <c r="S4" s="1">
        <f t="shared" si="6"/>
        <v>0.40625</v>
      </c>
      <c r="T4" s="1">
        <f t="shared" si="7"/>
        <v>3.2242573817849922</v>
      </c>
      <c r="V4" s="1">
        <f>Sheet2!AB4^2</f>
        <v>0.61851469262183789</v>
      </c>
      <c r="W4" s="1">
        <f>Sheet2!AC4^2</f>
        <v>4.5600591188656781E-2</v>
      </c>
      <c r="X4" s="1">
        <f t="shared" si="8"/>
        <v>46.388601946637841</v>
      </c>
      <c r="Y4" s="1">
        <f t="shared" si="9"/>
        <v>3.4200443391492588</v>
      </c>
      <c r="Z4" s="1">
        <f t="shared" si="10"/>
        <v>1732.5190999999998</v>
      </c>
      <c r="AA4" s="1">
        <f t="shared" si="11"/>
        <v>1996.2036999999998</v>
      </c>
      <c r="AB4" s="1">
        <f t="shared" si="12"/>
        <v>0.53535856835482654</v>
      </c>
      <c r="AC4" s="1">
        <f t="shared" si="13"/>
        <v>0.46464143164517346</v>
      </c>
      <c r="AD4" s="1">
        <f>ABS(AB4 - Sheet2!AB4)</f>
        <v>0.25109848236176402</v>
      </c>
      <c r="AF4" s="15">
        <f t="shared" si="14"/>
        <v>1</v>
      </c>
      <c r="AG4" s="15">
        <f t="shared" si="15"/>
        <v>0</v>
      </c>
    </row>
    <row r="5" spans="1:33" ht="27.6" x14ac:dyDescent="0.3">
      <c r="A5" s="2">
        <v>202207</v>
      </c>
      <c r="B5" s="6">
        <v>44747</v>
      </c>
      <c r="C5" s="3">
        <v>66</v>
      </c>
      <c r="D5" s="3">
        <v>110</v>
      </c>
      <c r="E5" s="3">
        <v>47</v>
      </c>
      <c r="F5" s="3">
        <v>16</v>
      </c>
      <c r="G5" s="3">
        <v>61</v>
      </c>
      <c r="H5" s="3">
        <v>23</v>
      </c>
      <c r="I5" s="3">
        <v>110</v>
      </c>
      <c r="J5" s="3" t="s">
        <v>19</v>
      </c>
      <c r="K5" s="3" t="s">
        <v>22</v>
      </c>
      <c r="L5" s="3" t="s">
        <v>21</v>
      </c>
      <c r="N5" s="1">
        <f t="shared" si="1"/>
        <v>0.67241379310344829</v>
      </c>
      <c r="O5" s="1">
        <f t="shared" si="2"/>
        <v>0.63809523809523805</v>
      </c>
      <c r="P5" s="1">
        <f t="shared" si="3"/>
        <v>0.16666666666666666</v>
      </c>
      <c r="Q5" s="1">
        <f t="shared" si="4"/>
        <v>0.36842105263157893</v>
      </c>
      <c r="R5" s="1">
        <f t="shared" si="5"/>
        <v>0.26829268292682928</v>
      </c>
      <c r="S5" s="1">
        <f t="shared" si="6"/>
        <v>0.3125</v>
      </c>
      <c r="T5" s="1">
        <f t="shared" si="7"/>
        <v>2.4263894334237612</v>
      </c>
      <c r="V5" s="1">
        <f>Sheet2!AB5^2</f>
        <v>0.66822382083441001</v>
      </c>
      <c r="W5" s="1">
        <f>Sheet2!AC5^2</f>
        <v>3.3324654727325584E-2</v>
      </c>
      <c r="X5" s="1">
        <f t="shared" si="8"/>
        <v>44.10277217507106</v>
      </c>
      <c r="Y5" s="1">
        <f t="shared" si="9"/>
        <v>2.1994272120034886</v>
      </c>
      <c r="Z5" s="1">
        <f t="shared" si="10"/>
        <v>416.17909999999983</v>
      </c>
      <c r="AA5" s="1">
        <f t="shared" si="11"/>
        <v>474.18369999999987</v>
      </c>
      <c r="AB5" s="1">
        <f t="shared" si="12"/>
        <v>0.5325735756255765</v>
      </c>
      <c r="AC5" s="1">
        <f t="shared" si="13"/>
        <v>0.4674264243744235</v>
      </c>
      <c r="AD5" s="1">
        <f>ABS(AB5 - Sheet2!AB5)</f>
        <v>0.28487600742796571</v>
      </c>
      <c r="AF5" s="15">
        <f t="shared" si="14"/>
        <v>1</v>
      </c>
      <c r="AG5" s="15">
        <f t="shared" si="15"/>
        <v>0</v>
      </c>
    </row>
    <row r="6" spans="1:33" x14ac:dyDescent="0.3">
      <c r="A6" s="2">
        <v>202207</v>
      </c>
      <c r="B6" s="6">
        <v>44746</v>
      </c>
      <c r="C6" s="3">
        <v>56</v>
      </c>
      <c r="D6" s="3">
        <v>78</v>
      </c>
      <c r="E6" s="3">
        <v>49</v>
      </c>
      <c r="F6" s="3">
        <v>11</v>
      </c>
      <c r="G6" s="3">
        <v>60</v>
      </c>
      <c r="H6" s="3">
        <v>13</v>
      </c>
      <c r="I6" s="3">
        <v>78</v>
      </c>
      <c r="J6" s="3" t="s">
        <v>19</v>
      </c>
      <c r="K6" s="3" t="s">
        <v>20</v>
      </c>
      <c r="L6" s="3" t="s">
        <v>21</v>
      </c>
      <c r="N6" s="1">
        <f t="shared" si="1"/>
        <v>0.5</v>
      </c>
      <c r="O6" s="1">
        <f t="shared" si="2"/>
        <v>0.33333333333333331</v>
      </c>
      <c r="P6" s="1">
        <f t="shared" si="3"/>
        <v>0.33333333333333331</v>
      </c>
      <c r="Q6" s="1">
        <f t="shared" si="4"/>
        <v>0.10526315789473684</v>
      </c>
      <c r="R6" s="1">
        <f t="shared" si="5"/>
        <v>0.26219512195121952</v>
      </c>
      <c r="S6" s="1">
        <f t="shared" si="6"/>
        <v>0</v>
      </c>
      <c r="T6" s="1">
        <f t="shared" si="7"/>
        <v>1.5341249465126228</v>
      </c>
      <c r="V6" s="1">
        <f>Sheet2!AB6^2</f>
        <v>0.24392727213146931</v>
      </c>
      <c r="W6" s="1">
        <f>Sheet2!AC6^2</f>
        <v>0.2561473935523006</v>
      </c>
      <c r="X6" s="1">
        <f t="shared" si="8"/>
        <v>13.659927239362281</v>
      </c>
      <c r="Y6" s="1">
        <f t="shared" si="9"/>
        <v>14.344254038928833</v>
      </c>
      <c r="Z6" s="1">
        <f t="shared" si="10"/>
        <v>522.09910000000013</v>
      </c>
      <c r="AA6" s="1">
        <f t="shared" si="11"/>
        <v>646.38370000000032</v>
      </c>
      <c r="AB6" s="1">
        <f t="shared" si="12"/>
        <v>0.55318204084818368</v>
      </c>
      <c r="AC6" s="1">
        <f t="shared" si="13"/>
        <v>0.44681795915181632</v>
      </c>
      <c r="AD6" s="1">
        <f>ABS(AB6 - Sheet2!AB6)</f>
        <v>5.9292101558599319E-2</v>
      </c>
      <c r="AF6" s="15">
        <f t="shared" si="14"/>
        <v>1</v>
      </c>
      <c r="AG6" s="15">
        <f t="shared" si="15"/>
        <v>1</v>
      </c>
    </row>
    <row r="7" spans="1:33" ht="27.6" x14ac:dyDescent="0.3">
      <c r="A7" s="2">
        <v>202207</v>
      </c>
      <c r="B7" s="6">
        <v>44745</v>
      </c>
      <c r="C7" s="3">
        <v>78</v>
      </c>
      <c r="D7" s="3">
        <v>126</v>
      </c>
      <c r="E7" s="3">
        <v>48</v>
      </c>
      <c r="F7" s="3">
        <v>17</v>
      </c>
      <c r="G7" s="3">
        <v>126</v>
      </c>
      <c r="H7" s="3">
        <v>25</v>
      </c>
      <c r="I7" s="3">
        <v>126</v>
      </c>
      <c r="J7" s="3" t="s">
        <v>19</v>
      </c>
      <c r="K7" s="3" t="s">
        <v>22</v>
      </c>
      <c r="L7" s="3" t="s">
        <v>23</v>
      </c>
      <c r="N7" s="1">
        <f t="shared" si="1"/>
        <v>0.87931034482758619</v>
      </c>
      <c r="O7" s="1">
        <f t="shared" si="2"/>
        <v>0.79047619047619044</v>
      </c>
      <c r="P7" s="1">
        <f t="shared" si="3"/>
        <v>0.25</v>
      </c>
      <c r="Q7" s="1">
        <f t="shared" si="4"/>
        <v>0.42105263157894735</v>
      </c>
      <c r="R7" s="1">
        <f t="shared" si="5"/>
        <v>0.66463414634146345</v>
      </c>
      <c r="S7" s="1">
        <f t="shared" si="6"/>
        <v>0.375</v>
      </c>
      <c r="T7" s="1">
        <f t="shared" si="7"/>
        <v>3.3804733132241873</v>
      </c>
      <c r="V7" s="1">
        <f>Sheet2!AB7^2</f>
        <v>0.6264359315440825</v>
      </c>
      <c r="W7" s="1">
        <f>Sheet2!AC7^2</f>
        <v>4.3481817813577052E-2</v>
      </c>
      <c r="X7" s="1">
        <f t="shared" si="8"/>
        <v>48.862002660438435</v>
      </c>
      <c r="Y7" s="1">
        <f t="shared" si="9"/>
        <v>3.3915817894590101</v>
      </c>
      <c r="Z7" s="1">
        <f t="shared" si="10"/>
        <v>5425.1791000000003</v>
      </c>
      <c r="AA7" s="1">
        <f t="shared" si="11"/>
        <v>7123.663700000001</v>
      </c>
      <c r="AB7" s="1">
        <f t="shared" si="12"/>
        <v>0.56767494927898854</v>
      </c>
      <c r="AC7" s="1">
        <f t="shared" si="13"/>
        <v>0.43232505072101146</v>
      </c>
      <c r="AD7" s="1">
        <f>ABS(AB7 - Sheet2!AB7)</f>
        <v>0.22380210758626418</v>
      </c>
      <c r="AF7" s="15">
        <f t="shared" si="14"/>
        <v>1</v>
      </c>
      <c r="AG7" s="15">
        <f t="shared" si="15"/>
        <v>0</v>
      </c>
    </row>
    <row r="8" spans="1:33" ht="27.6" x14ac:dyDescent="0.3">
      <c r="A8" s="2">
        <v>202207</v>
      </c>
      <c r="B8" s="6">
        <v>44744</v>
      </c>
      <c r="C8" s="3">
        <v>81</v>
      </c>
      <c r="D8" s="3">
        <v>137</v>
      </c>
      <c r="E8" s="3">
        <v>47</v>
      </c>
      <c r="F8" s="3">
        <v>18</v>
      </c>
      <c r="G8" s="3">
        <v>106</v>
      </c>
      <c r="H8" s="3">
        <v>29</v>
      </c>
      <c r="I8" s="3">
        <v>137</v>
      </c>
      <c r="J8" s="3" t="s">
        <v>19</v>
      </c>
      <c r="K8" s="3" t="s">
        <v>22</v>
      </c>
      <c r="L8" s="3" t="s">
        <v>21</v>
      </c>
      <c r="N8" s="1">
        <f t="shared" si="1"/>
        <v>0.93103448275862066</v>
      </c>
      <c r="O8" s="1">
        <f t="shared" si="2"/>
        <v>0.89523809523809528</v>
      </c>
      <c r="P8" s="1">
        <f t="shared" si="3"/>
        <v>0.16666666666666666</v>
      </c>
      <c r="Q8" s="1">
        <f t="shared" si="4"/>
        <v>0.47368421052631576</v>
      </c>
      <c r="R8" s="1">
        <f t="shared" si="5"/>
        <v>0.54268292682926833</v>
      </c>
      <c r="S8" s="1">
        <f t="shared" si="6"/>
        <v>0.5</v>
      </c>
      <c r="T8" s="1">
        <f t="shared" si="7"/>
        <v>3.5093063820189672</v>
      </c>
      <c r="V8" s="1">
        <f>Sheet2!AB8^2</f>
        <v>0.64724800941457794</v>
      </c>
      <c r="W8" s="1">
        <f>Sheet2!AC8^2</f>
        <v>3.8213504607949575E-2</v>
      </c>
      <c r="X8" s="1">
        <f t="shared" si="8"/>
        <v>52.427088762580816</v>
      </c>
      <c r="Y8" s="1">
        <f t="shared" si="9"/>
        <v>3.0952938732439157</v>
      </c>
      <c r="Z8" s="1">
        <f t="shared" si="10"/>
        <v>4302.4590999999991</v>
      </c>
      <c r="AA8" s="1">
        <f t="shared" si="11"/>
        <v>5448.0436999999993</v>
      </c>
      <c r="AB8" s="1">
        <f t="shared" si="12"/>
        <v>0.55874489877588673</v>
      </c>
      <c r="AC8" s="1">
        <f t="shared" si="13"/>
        <v>0.44125510122411327</v>
      </c>
      <c r="AD8" s="1">
        <f>ABS(AB8 - Sheet2!AB8)</f>
        <v>0.24577235362742744</v>
      </c>
      <c r="AF8" s="15">
        <f t="shared" si="14"/>
        <v>1</v>
      </c>
      <c r="AG8" s="15">
        <f t="shared" si="15"/>
        <v>0</v>
      </c>
    </row>
    <row r="9" spans="1:33" ht="27.6" x14ac:dyDescent="0.3">
      <c r="A9" s="2">
        <v>202208</v>
      </c>
      <c r="B9" s="6">
        <v>44774</v>
      </c>
      <c r="C9" s="3">
        <v>68</v>
      </c>
      <c r="D9" s="3">
        <v>109</v>
      </c>
      <c r="E9" s="3">
        <v>50</v>
      </c>
      <c r="F9" s="3">
        <v>12</v>
      </c>
      <c r="G9" s="3">
        <v>91</v>
      </c>
      <c r="H9" s="3">
        <v>19</v>
      </c>
      <c r="I9" s="3">
        <v>109</v>
      </c>
      <c r="J9" s="3" t="s">
        <v>19</v>
      </c>
      <c r="K9" s="3" t="s">
        <v>22</v>
      </c>
      <c r="L9" s="3" t="s">
        <v>21</v>
      </c>
      <c r="N9" s="1">
        <f t="shared" si="1"/>
        <v>0.7068965517241379</v>
      </c>
      <c r="O9" s="1">
        <f t="shared" si="2"/>
        <v>0.62857142857142856</v>
      </c>
      <c r="P9" s="1">
        <f t="shared" si="3"/>
        <v>0.41666666666666669</v>
      </c>
      <c r="Q9" s="1">
        <f t="shared" si="4"/>
        <v>0.15789473684210525</v>
      </c>
      <c r="R9" s="1">
        <f t="shared" si="5"/>
        <v>0.45121951219512196</v>
      </c>
      <c r="S9" s="1">
        <f t="shared" si="6"/>
        <v>0.1875</v>
      </c>
      <c r="T9" s="1">
        <f t="shared" si="7"/>
        <v>2.5487488959994606</v>
      </c>
      <c r="V9" s="1">
        <f>Sheet2!AB9^2</f>
        <v>0.56905195421385035</v>
      </c>
      <c r="W9" s="1">
        <f>Sheet2!AC9^2</f>
        <v>6.0341307053368029E-2</v>
      </c>
      <c r="X9" s="1">
        <f t="shared" si="8"/>
        <v>38.695532886541827</v>
      </c>
      <c r="Y9" s="1">
        <f t="shared" si="9"/>
        <v>4.103208879629026</v>
      </c>
      <c r="Z9" s="1">
        <f t="shared" si="10"/>
        <v>1262.5590999999999</v>
      </c>
      <c r="AA9" s="1">
        <f t="shared" si="11"/>
        <v>2098.4236999999998</v>
      </c>
      <c r="AB9" s="1">
        <f t="shared" si="12"/>
        <v>0.62434824123467692</v>
      </c>
      <c r="AC9" s="1">
        <f t="shared" si="13"/>
        <v>0.37565175876532308</v>
      </c>
      <c r="AD9" s="1">
        <f>ABS(AB9 - Sheet2!AB9)</f>
        <v>0.13000708234556424</v>
      </c>
      <c r="AF9" s="15">
        <f t="shared" si="14"/>
        <v>1</v>
      </c>
      <c r="AG9" s="15">
        <f t="shared" si="15"/>
        <v>0</v>
      </c>
    </row>
    <row r="10" spans="1:33" ht="27.6" x14ac:dyDescent="0.3">
      <c r="A10" s="2">
        <v>202208</v>
      </c>
      <c r="B10" s="6">
        <v>44804</v>
      </c>
      <c r="C10" s="3">
        <v>85</v>
      </c>
      <c r="D10" s="3">
        <v>148</v>
      </c>
      <c r="E10" s="3">
        <v>51</v>
      </c>
      <c r="F10" s="3">
        <v>25</v>
      </c>
      <c r="G10" s="3">
        <v>74</v>
      </c>
      <c r="H10" s="3">
        <v>37</v>
      </c>
      <c r="I10" s="3">
        <v>148</v>
      </c>
      <c r="J10" s="3" t="s">
        <v>19</v>
      </c>
      <c r="K10" s="3" t="s">
        <v>22</v>
      </c>
      <c r="L10" s="3" t="s">
        <v>21</v>
      </c>
      <c r="N10" s="1">
        <f t="shared" si="1"/>
        <v>1</v>
      </c>
      <c r="O10" s="1">
        <f t="shared" si="2"/>
        <v>1</v>
      </c>
      <c r="P10" s="1">
        <f t="shared" si="3"/>
        <v>0.5</v>
      </c>
      <c r="Q10" s="1">
        <f t="shared" si="4"/>
        <v>0.84210526315789469</v>
      </c>
      <c r="R10" s="1">
        <f t="shared" si="5"/>
        <v>0.34756097560975607</v>
      </c>
      <c r="S10" s="1">
        <f t="shared" si="6"/>
        <v>0.75</v>
      </c>
      <c r="T10" s="1">
        <f t="shared" si="7"/>
        <v>4.4396662387676509</v>
      </c>
      <c r="V10" s="1">
        <f>Sheet2!AB10^2</f>
        <v>0.70841171726272445</v>
      </c>
      <c r="W10" s="1">
        <f>Sheet2!AC10^2</f>
        <v>2.5067762792664944E-2</v>
      </c>
      <c r="X10" s="1">
        <f t="shared" si="8"/>
        <v>60.214995967331575</v>
      </c>
      <c r="Y10" s="1">
        <f t="shared" si="9"/>
        <v>2.1307598373765204</v>
      </c>
      <c r="Z10" s="1">
        <f t="shared" si="10"/>
        <v>4037.3590999999992</v>
      </c>
      <c r="AA10" s="1">
        <f t="shared" si="11"/>
        <v>4298.3236999999999</v>
      </c>
      <c r="AB10" s="1">
        <f t="shared" si="12"/>
        <v>0.51565346272533308</v>
      </c>
      <c r="AC10" s="1">
        <f t="shared" si="13"/>
        <v>0.48434653727466692</v>
      </c>
      <c r="AD10" s="1">
        <f>ABS(AB10 - Sheet2!AB10)</f>
        <v>0.32601851450969666</v>
      </c>
      <c r="AF10" s="15">
        <f t="shared" si="14"/>
        <v>1</v>
      </c>
      <c r="AG10" s="15">
        <f t="shared" si="15"/>
        <v>0</v>
      </c>
    </row>
    <row r="11" spans="1:33" x14ac:dyDescent="0.3">
      <c r="A11" s="2">
        <v>202208</v>
      </c>
      <c r="B11" s="6">
        <v>44803</v>
      </c>
      <c r="C11" s="3">
        <v>59</v>
      </c>
      <c r="D11" s="3">
        <v>84</v>
      </c>
      <c r="E11" s="3">
        <v>50</v>
      </c>
      <c r="F11" s="3">
        <v>15</v>
      </c>
      <c r="G11" s="3">
        <v>56</v>
      </c>
      <c r="H11" s="3">
        <v>29</v>
      </c>
      <c r="I11" s="3">
        <v>84</v>
      </c>
      <c r="J11" s="3" t="s">
        <v>19</v>
      </c>
      <c r="K11" s="3" t="s">
        <v>20</v>
      </c>
      <c r="L11" s="3" t="s">
        <v>21</v>
      </c>
      <c r="N11" s="1">
        <f t="shared" si="1"/>
        <v>0.55172413793103448</v>
      </c>
      <c r="O11" s="1">
        <f t="shared" si="2"/>
        <v>0.39047619047619048</v>
      </c>
      <c r="P11" s="1">
        <f t="shared" si="3"/>
        <v>0.41666666666666669</v>
      </c>
      <c r="Q11" s="1">
        <f t="shared" si="4"/>
        <v>0.31578947368421051</v>
      </c>
      <c r="R11" s="1">
        <f t="shared" si="5"/>
        <v>0.23780487804878048</v>
      </c>
      <c r="S11" s="1">
        <f t="shared" si="6"/>
        <v>0.5</v>
      </c>
      <c r="T11" s="1">
        <f t="shared" si="7"/>
        <v>2.4124613468068827</v>
      </c>
      <c r="V11" s="1">
        <f>Sheet2!AB11^2</f>
        <v>0.9023993872512599</v>
      </c>
      <c r="W11" s="1">
        <f>Sheet2!AC11^2</f>
        <v>2.5052983597133966E-3</v>
      </c>
      <c r="X11" s="1">
        <f t="shared" si="8"/>
        <v>53.241563847824331</v>
      </c>
      <c r="Y11" s="1">
        <f t="shared" si="9"/>
        <v>0.14781260322309039</v>
      </c>
      <c r="Z11" s="1">
        <f t="shared" si="10"/>
        <v>137.47910000000007</v>
      </c>
      <c r="AA11" s="1">
        <f t="shared" si="11"/>
        <v>128.88370000000015</v>
      </c>
      <c r="AB11" s="1">
        <f t="shared" si="12"/>
        <v>0.48386523944034243</v>
      </c>
      <c r="AC11" s="1">
        <f t="shared" si="13"/>
        <v>0.51613476055965757</v>
      </c>
      <c r="AD11" s="1">
        <f>ABS(AB11 - Sheet2!AB11)</f>
        <v>0.46608180500543084</v>
      </c>
      <c r="AF11" s="15">
        <f t="shared" si="14"/>
        <v>2</v>
      </c>
      <c r="AG11" s="15">
        <f t="shared" si="15"/>
        <v>0</v>
      </c>
    </row>
    <row r="12" spans="1:33" x14ac:dyDescent="0.3">
      <c r="A12" s="2">
        <v>202208</v>
      </c>
      <c r="B12" s="6">
        <v>44802</v>
      </c>
      <c r="C12" s="3">
        <v>58</v>
      </c>
      <c r="D12" s="3">
        <v>82</v>
      </c>
      <c r="E12" s="3">
        <v>49</v>
      </c>
      <c r="F12" s="3">
        <v>16</v>
      </c>
      <c r="G12" s="3">
        <v>55</v>
      </c>
      <c r="H12" s="3">
        <v>29</v>
      </c>
      <c r="I12" s="3">
        <v>82</v>
      </c>
      <c r="J12" s="3" t="s">
        <v>19</v>
      </c>
      <c r="K12" s="3" t="s">
        <v>20</v>
      </c>
      <c r="L12" s="3" t="s">
        <v>21</v>
      </c>
      <c r="N12" s="1">
        <f t="shared" si="1"/>
        <v>0.53448275862068961</v>
      </c>
      <c r="O12" s="1">
        <f t="shared" si="2"/>
        <v>0.37142857142857144</v>
      </c>
      <c r="P12" s="1">
        <f t="shared" si="3"/>
        <v>0.33333333333333331</v>
      </c>
      <c r="Q12" s="1">
        <f t="shared" si="4"/>
        <v>0.36842105263157893</v>
      </c>
      <c r="R12" s="1">
        <f t="shared" si="5"/>
        <v>0.23170731707317074</v>
      </c>
      <c r="S12" s="1">
        <f t="shared" si="6"/>
        <v>0.5</v>
      </c>
      <c r="T12" s="1">
        <f t="shared" si="7"/>
        <v>2.3393730330873441</v>
      </c>
      <c r="V12" s="1">
        <f>Sheet2!AB12^2</f>
        <v>0.89155279893562134</v>
      </c>
      <c r="W12" s="1">
        <f>Sheet2!AC12^2</f>
        <v>3.1113262543827065E-3</v>
      </c>
      <c r="X12" s="1">
        <f t="shared" si="8"/>
        <v>51.710062338266034</v>
      </c>
      <c r="Y12" s="1">
        <f t="shared" si="9"/>
        <v>0.18045692275419697</v>
      </c>
      <c r="Z12" s="1">
        <f t="shared" si="10"/>
        <v>180.93910000000008</v>
      </c>
      <c r="AA12" s="1">
        <f t="shared" si="11"/>
        <v>155.14370000000014</v>
      </c>
      <c r="AB12" s="1">
        <f t="shared" si="12"/>
        <v>0.46162344517482018</v>
      </c>
      <c r="AC12" s="1">
        <f t="shared" si="13"/>
        <v>0.53837655482517977</v>
      </c>
      <c r="AD12" s="1">
        <f>ABS(AB12 - Sheet2!AB12)</f>
        <v>0.48259729116579914</v>
      </c>
      <c r="AF12" s="15">
        <f t="shared" si="14"/>
        <v>2</v>
      </c>
      <c r="AG12" s="15">
        <f t="shared" si="15"/>
        <v>0</v>
      </c>
    </row>
    <row r="13" spans="1:33" x14ac:dyDescent="0.3">
      <c r="A13" s="2">
        <v>202208</v>
      </c>
      <c r="B13" s="6">
        <v>44801</v>
      </c>
      <c r="C13" s="3">
        <v>64</v>
      </c>
      <c r="D13" s="3">
        <v>85</v>
      </c>
      <c r="E13" s="3">
        <v>49</v>
      </c>
      <c r="F13" s="3">
        <v>17</v>
      </c>
      <c r="G13" s="3">
        <v>56</v>
      </c>
      <c r="H13" s="3">
        <v>30</v>
      </c>
      <c r="I13" s="3">
        <v>85</v>
      </c>
      <c r="J13" s="3" t="s">
        <v>19</v>
      </c>
      <c r="K13" s="3" t="s">
        <v>20</v>
      </c>
      <c r="L13" s="3" t="s">
        <v>24</v>
      </c>
      <c r="N13" s="1">
        <f t="shared" si="1"/>
        <v>0.63793103448275867</v>
      </c>
      <c r="O13" s="1">
        <f t="shared" si="2"/>
        <v>0.4</v>
      </c>
      <c r="P13" s="1">
        <f t="shared" si="3"/>
        <v>0.33333333333333331</v>
      </c>
      <c r="Q13" s="1">
        <f t="shared" si="4"/>
        <v>0.42105263157894735</v>
      </c>
      <c r="R13" s="1">
        <f t="shared" si="5"/>
        <v>0.23780487804878048</v>
      </c>
      <c r="S13" s="1">
        <f t="shared" si="6"/>
        <v>0.53125</v>
      </c>
      <c r="T13" s="1">
        <f t="shared" si="7"/>
        <v>2.5613718774438201</v>
      </c>
      <c r="V13" s="1">
        <f>Sheet2!AB13^2</f>
        <v>0.93148190562665545</v>
      </c>
      <c r="W13" s="1">
        <f>Sheet2!AC13^2</f>
        <v>1.2157005381910246E-3</v>
      </c>
      <c r="X13" s="1">
        <f t="shared" si="8"/>
        <v>59.614841960105949</v>
      </c>
      <c r="Y13" s="1">
        <f t="shared" si="9"/>
        <v>7.7804834444225576E-2</v>
      </c>
      <c r="Z13" s="1">
        <f t="shared" si="10"/>
        <v>130.61910000000006</v>
      </c>
      <c r="AA13" s="1">
        <f t="shared" si="11"/>
        <v>116.74370000000015</v>
      </c>
      <c r="AB13" s="1">
        <f t="shared" si="12"/>
        <v>0.47195334140784329</v>
      </c>
      <c r="AC13" s="1">
        <f t="shared" si="13"/>
        <v>0.52804665859215671</v>
      </c>
      <c r="AD13" s="1">
        <f>ABS(AB13 - Sheet2!AB13)</f>
        <v>0.49317976113638895</v>
      </c>
      <c r="AF13" s="15">
        <f t="shared" si="14"/>
        <v>2</v>
      </c>
      <c r="AG13" s="15">
        <f t="shared" si="15"/>
        <v>0</v>
      </c>
    </row>
    <row r="14" spans="1:33" ht="27.6" x14ac:dyDescent="0.3">
      <c r="A14" s="2">
        <v>202208</v>
      </c>
      <c r="B14" s="6">
        <v>44800</v>
      </c>
      <c r="C14" s="3">
        <v>80</v>
      </c>
      <c r="D14" s="3">
        <v>130</v>
      </c>
      <c r="E14" s="3">
        <v>50</v>
      </c>
      <c r="F14" s="3">
        <v>25</v>
      </c>
      <c r="G14" s="3">
        <v>57</v>
      </c>
      <c r="H14" s="3">
        <v>37</v>
      </c>
      <c r="I14" s="3">
        <v>130</v>
      </c>
      <c r="J14" s="3" t="s">
        <v>19</v>
      </c>
      <c r="K14" s="3" t="s">
        <v>22</v>
      </c>
      <c r="L14" s="3" t="s">
        <v>21</v>
      </c>
      <c r="N14" s="1">
        <f t="shared" si="1"/>
        <v>0.91379310344827591</v>
      </c>
      <c r="O14" s="1">
        <f t="shared" si="2"/>
        <v>0.82857142857142863</v>
      </c>
      <c r="P14" s="1">
        <f t="shared" si="3"/>
        <v>0.41666666666666669</v>
      </c>
      <c r="Q14" s="1">
        <f t="shared" si="4"/>
        <v>0.84210526315789469</v>
      </c>
      <c r="R14" s="1">
        <f t="shared" si="5"/>
        <v>0.24390243902439024</v>
      </c>
      <c r="S14" s="1">
        <f t="shared" si="6"/>
        <v>0.75</v>
      </c>
      <c r="T14" s="1">
        <f t="shared" si="7"/>
        <v>3.9950389008686562</v>
      </c>
      <c r="V14" s="1">
        <f>Sheet2!AB14^2</f>
        <v>0.76715371896516193</v>
      </c>
      <c r="W14" s="1">
        <f>Sheet2!AC14^2</f>
        <v>1.5407482816601599E-2</v>
      </c>
      <c r="X14" s="1">
        <f t="shared" si="8"/>
        <v>61.372297517212957</v>
      </c>
      <c r="Y14" s="1">
        <f t="shared" si="9"/>
        <v>1.2325986253281278</v>
      </c>
      <c r="Z14" s="1">
        <f t="shared" si="10"/>
        <v>2037.4590999999998</v>
      </c>
      <c r="AA14" s="1">
        <f t="shared" si="11"/>
        <v>1909.2636999999995</v>
      </c>
      <c r="AB14" s="1">
        <f t="shared" si="12"/>
        <v>0.48375925970782641</v>
      </c>
      <c r="AC14" s="1">
        <f t="shared" si="13"/>
        <v>0.51624074029217359</v>
      </c>
      <c r="AD14" s="1">
        <f>ABS(AB14 - Sheet2!AB14)</f>
        <v>0.39211385836645374</v>
      </c>
      <c r="AF14" s="15">
        <f t="shared" si="14"/>
        <v>2</v>
      </c>
      <c r="AG14" s="15">
        <f t="shared" si="15"/>
        <v>1</v>
      </c>
    </row>
    <row r="15" spans="1:33" ht="27.6" x14ac:dyDescent="0.3">
      <c r="A15" s="2">
        <v>202208</v>
      </c>
      <c r="B15" s="6">
        <v>44799</v>
      </c>
      <c r="C15" s="3">
        <v>76</v>
      </c>
      <c r="D15" s="3">
        <v>119</v>
      </c>
      <c r="E15" s="3">
        <v>53</v>
      </c>
      <c r="F15" s="3">
        <v>19</v>
      </c>
      <c r="G15" s="3">
        <v>53</v>
      </c>
      <c r="H15" s="3">
        <v>31</v>
      </c>
      <c r="I15" s="3">
        <v>119</v>
      </c>
      <c r="J15" s="3" t="s">
        <v>19</v>
      </c>
      <c r="K15" s="3" t="s">
        <v>22</v>
      </c>
      <c r="L15" s="3" t="s">
        <v>21</v>
      </c>
      <c r="N15" s="1">
        <f t="shared" si="1"/>
        <v>0.84482758620689657</v>
      </c>
      <c r="O15" s="1">
        <f t="shared" si="2"/>
        <v>0.72380952380952379</v>
      </c>
      <c r="P15" s="1">
        <f t="shared" si="3"/>
        <v>0.66666666666666663</v>
      </c>
      <c r="Q15" s="1">
        <f t="shared" si="4"/>
        <v>0.52631578947368418</v>
      </c>
      <c r="R15" s="1">
        <f t="shared" si="5"/>
        <v>0.21951219512195122</v>
      </c>
      <c r="S15" s="1">
        <f t="shared" si="6"/>
        <v>0.5625</v>
      </c>
      <c r="T15" s="1">
        <f t="shared" si="7"/>
        <v>3.5436317612787223</v>
      </c>
      <c r="V15" s="1">
        <f>Sheet2!AB15^2</f>
        <v>0.84469170695496576</v>
      </c>
      <c r="W15" s="1">
        <f>Sheet2!AC15^2</f>
        <v>6.5494850853240723E-3</v>
      </c>
      <c r="X15" s="1">
        <f t="shared" si="8"/>
        <v>64.196569728577401</v>
      </c>
      <c r="Y15" s="1">
        <f t="shared" si="9"/>
        <v>0.49776086648462947</v>
      </c>
      <c r="Z15" s="1">
        <f t="shared" si="10"/>
        <v>1158.1190999999997</v>
      </c>
      <c r="AA15" s="1">
        <f t="shared" si="11"/>
        <v>952.8236999999998</v>
      </c>
      <c r="AB15" s="1">
        <f t="shared" si="12"/>
        <v>0.45137352845373169</v>
      </c>
      <c r="AC15" s="1">
        <f t="shared" si="13"/>
        <v>0.54862647154626831</v>
      </c>
      <c r="AD15" s="1">
        <f>ABS(AB15 - Sheet2!AB15)</f>
        <v>0.46769758248108917</v>
      </c>
      <c r="AF15" s="15">
        <f t="shared" si="14"/>
        <v>2</v>
      </c>
      <c r="AG15" s="15">
        <f t="shared" si="15"/>
        <v>1</v>
      </c>
    </row>
    <row r="16" spans="1:33" x14ac:dyDescent="0.3">
      <c r="A16" s="2">
        <v>202208</v>
      </c>
      <c r="B16" s="6">
        <v>44798</v>
      </c>
      <c r="C16" s="3">
        <v>64</v>
      </c>
      <c r="D16" s="3">
        <v>98</v>
      </c>
      <c r="E16" s="3">
        <v>50</v>
      </c>
      <c r="F16" s="3">
        <v>12</v>
      </c>
      <c r="G16" s="3">
        <v>66</v>
      </c>
      <c r="H16" s="3">
        <v>19</v>
      </c>
      <c r="I16" s="3">
        <v>98</v>
      </c>
      <c r="J16" s="3" t="s">
        <v>19</v>
      </c>
      <c r="K16" s="3" t="s">
        <v>20</v>
      </c>
      <c r="L16" s="3" t="s">
        <v>21</v>
      </c>
      <c r="N16" s="1">
        <f t="shared" si="1"/>
        <v>0.63793103448275867</v>
      </c>
      <c r="O16" s="1">
        <f t="shared" si="2"/>
        <v>0.52380952380952384</v>
      </c>
      <c r="P16" s="1">
        <f t="shared" si="3"/>
        <v>0.41666666666666669</v>
      </c>
      <c r="Q16" s="1">
        <f t="shared" si="4"/>
        <v>0.15789473684210525</v>
      </c>
      <c r="R16" s="1">
        <f t="shared" si="5"/>
        <v>0.29878048780487804</v>
      </c>
      <c r="S16" s="1">
        <f t="shared" si="6"/>
        <v>0.1875</v>
      </c>
      <c r="T16" s="1">
        <f t="shared" si="7"/>
        <v>2.2225824496059325</v>
      </c>
      <c r="V16" s="1">
        <f>Sheet2!AB16^2</f>
        <v>0.56994063540380946</v>
      </c>
      <c r="W16" s="1">
        <f>Sheet2!AC16^2</f>
        <v>6.0052380725590618E-2</v>
      </c>
      <c r="X16" s="1">
        <f t="shared" si="8"/>
        <v>36.476200665843805</v>
      </c>
      <c r="Y16" s="1">
        <f t="shared" si="9"/>
        <v>3.8433523664377995</v>
      </c>
      <c r="Z16" s="1">
        <f t="shared" si="10"/>
        <v>206.61909999999995</v>
      </c>
      <c r="AA16" s="1">
        <f t="shared" si="11"/>
        <v>422.14370000000008</v>
      </c>
      <c r="AB16" s="1">
        <f t="shared" si="12"/>
        <v>0.6713878429194603</v>
      </c>
      <c r="AC16" s="1">
        <f t="shared" si="13"/>
        <v>0.3286121570805397</v>
      </c>
      <c r="AD16" s="1">
        <f>ABS(AB16 - Sheet2!AB16)</f>
        <v>8.3556284419649129E-2</v>
      </c>
      <c r="AF16" s="15">
        <f t="shared" si="14"/>
        <v>1</v>
      </c>
      <c r="AG16" s="15">
        <f t="shared" si="15"/>
        <v>1</v>
      </c>
    </row>
    <row r="17" spans="1:33" ht="27.6" x14ac:dyDescent="0.3">
      <c r="A17" s="2">
        <v>202208</v>
      </c>
      <c r="B17" s="6">
        <v>44797</v>
      </c>
      <c r="C17" s="3">
        <v>71</v>
      </c>
      <c r="D17" s="3">
        <v>119</v>
      </c>
      <c r="E17" s="3">
        <v>50</v>
      </c>
      <c r="F17" s="3">
        <v>15</v>
      </c>
      <c r="G17" s="3">
        <v>82</v>
      </c>
      <c r="H17" s="3">
        <v>20</v>
      </c>
      <c r="I17" s="3">
        <v>119</v>
      </c>
      <c r="J17" s="3" t="s">
        <v>19</v>
      </c>
      <c r="K17" s="3" t="s">
        <v>22</v>
      </c>
      <c r="L17" s="3" t="s">
        <v>21</v>
      </c>
      <c r="N17" s="1">
        <f t="shared" si="1"/>
        <v>0.75862068965517238</v>
      </c>
      <c r="O17" s="1">
        <f t="shared" si="2"/>
        <v>0.72380952380952379</v>
      </c>
      <c r="P17" s="1">
        <f t="shared" si="3"/>
        <v>0.41666666666666669</v>
      </c>
      <c r="Q17" s="1">
        <f t="shared" si="4"/>
        <v>0.31578947368421051</v>
      </c>
      <c r="R17" s="1">
        <f t="shared" si="5"/>
        <v>0.39634146341463417</v>
      </c>
      <c r="S17" s="1">
        <f t="shared" si="6"/>
        <v>0.21875</v>
      </c>
      <c r="T17" s="1">
        <f t="shared" si="7"/>
        <v>2.8299778172302075</v>
      </c>
      <c r="V17" s="1">
        <f>Sheet2!AB17^2</f>
        <v>0.66099299028100911</v>
      </c>
      <c r="W17" s="1">
        <f>Sheet2!AC17^2</f>
        <v>3.4963482208035523E-2</v>
      </c>
      <c r="X17" s="1">
        <f t="shared" si="8"/>
        <v>46.930502309951649</v>
      </c>
      <c r="Y17" s="1">
        <f t="shared" si="9"/>
        <v>2.4824072367705221</v>
      </c>
      <c r="Z17" s="1">
        <f t="shared" si="10"/>
        <v>1304.5990999999997</v>
      </c>
      <c r="AA17" s="1">
        <f t="shared" si="11"/>
        <v>1875.3237000000001</v>
      </c>
      <c r="AB17" s="1">
        <f t="shared" si="12"/>
        <v>0.58973875089043049</v>
      </c>
      <c r="AC17" s="1">
        <f t="shared" si="13"/>
        <v>0.41026124910956951</v>
      </c>
      <c r="AD17" s="1">
        <f>ABS(AB17 - Sheet2!AB17)</f>
        <v>0.22327600314605633</v>
      </c>
      <c r="AF17" s="15">
        <f t="shared" si="14"/>
        <v>1</v>
      </c>
      <c r="AG17" s="15">
        <f t="shared" si="15"/>
        <v>0</v>
      </c>
    </row>
    <row r="18" spans="1:33" ht="27.6" x14ac:dyDescent="0.3">
      <c r="A18" s="2">
        <v>202208</v>
      </c>
      <c r="B18" s="6">
        <v>44796</v>
      </c>
      <c r="C18" s="3">
        <v>76</v>
      </c>
      <c r="D18" s="3">
        <v>116</v>
      </c>
      <c r="E18" s="3">
        <v>49</v>
      </c>
      <c r="F18" s="3">
        <v>17</v>
      </c>
      <c r="G18" s="3">
        <v>81</v>
      </c>
      <c r="H18" s="3">
        <v>27</v>
      </c>
      <c r="I18" s="3">
        <v>116</v>
      </c>
      <c r="J18" s="3" t="s">
        <v>19</v>
      </c>
      <c r="K18" s="3" t="s">
        <v>22</v>
      </c>
      <c r="L18" s="3" t="s">
        <v>21</v>
      </c>
      <c r="N18" s="1">
        <f t="shared" si="1"/>
        <v>0.84482758620689657</v>
      </c>
      <c r="O18" s="1">
        <f t="shared" si="2"/>
        <v>0.69523809523809521</v>
      </c>
      <c r="P18" s="1">
        <f t="shared" si="3"/>
        <v>0.33333333333333331</v>
      </c>
      <c r="Q18" s="1">
        <f t="shared" si="4"/>
        <v>0.42105263157894735</v>
      </c>
      <c r="R18" s="1">
        <f t="shared" si="5"/>
        <v>0.3902439024390244</v>
      </c>
      <c r="S18" s="1">
        <f t="shared" si="6"/>
        <v>0.4375</v>
      </c>
      <c r="T18" s="1">
        <f t="shared" si="7"/>
        <v>3.1221955487962965</v>
      </c>
      <c r="V18" s="1">
        <f>Sheet2!AB18^2</f>
        <v>0.77211127489090658</v>
      </c>
      <c r="W18" s="1">
        <f>Sheet2!AC18^2</f>
        <v>1.4714023395495157E-2</v>
      </c>
      <c r="X18" s="1">
        <f t="shared" si="8"/>
        <v>58.6804568917089</v>
      </c>
      <c r="Y18" s="1">
        <f t="shared" si="9"/>
        <v>1.1182657780576319</v>
      </c>
      <c r="Z18" s="1">
        <f t="shared" si="10"/>
        <v>1167.5391</v>
      </c>
      <c r="AA18" s="1">
        <f t="shared" si="11"/>
        <v>1715.0636999999999</v>
      </c>
      <c r="AB18" s="1">
        <f t="shared" si="12"/>
        <v>0.59497052455510002</v>
      </c>
      <c r="AC18" s="1">
        <f t="shared" si="13"/>
        <v>0.40502947544489998</v>
      </c>
      <c r="AD18" s="1">
        <f>ABS(AB18 - Sheet2!AB18)</f>
        <v>0.28372810119260572</v>
      </c>
      <c r="AF18" s="15">
        <f t="shared" si="14"/>
        <v>1</v>
      </c>
      <c r="AG18" s="15">
        <f t="shared" si="15"/>
        <v>0</v>
      </c>
    </row>
    <row r="19" spans="1:33" x14ac:dyDescent="0.3">
      <c r="A19" s="2">
        <v>202208</v>
      </c>
      <c r="B19" s="6">
        <v>44795</v>
      </c>
      <c r="C19" s="3">
        <v>57</v>
      </c>
      <c r="D19" s="3">
        <v>78</v>
      </c>
      <c r="E19" s="3">
        <v>49</v>
      </c>
      <c r="F19" s="3">
        <v>13</v>
      </c>
      <c r="G19" s="3">
        <v>79</v>
      </c>
      <c r="H19" s="3">
        <v>22</v>
      </c>
      <c r="I19" s="3">
        <v>79</v>
      </c>
      <c r="J19" s="3" t="s">
        <v>25</v>
      </c>
      <c r="K19" s="3" t="s">
        <v>20</v>
      </c>
      <c r="L19" s="3" t="s">
        <v>23</v>
      </c>
      <c r="N19" s="1">
        <f t="shared" si="1"/>
        <v>0.51724137931034486</v>
      </c>
      <c r="O19" s="1">
        <f t="shared" si="2"/>
        <v>0.33333333333333331</v>
      </c>
      <c r="P19" s="1">
        <f t="shared" si="3"/>
        <v>0.33333333333333331</v>
      </c>
      <c r="Q19" s="1">
        <f t="shared" si="4"/>
        <v>0.21052631578947367</v>
      </c>
      <c r="R19" s="1">
        <f t="shared" si="5"/>
        <v>0.37804878048780488</v>
      </c>
      <c r="S19" s="1">
        <f t="shared" si="6"/>
        <v>0.28125</v>
      </c>
      <c r="T19" s="1">
        <f t="shared" si="7"/>
        <v>2.0537331422542899</v>
      </c>
      <c r="V19" s="1">
        <f>Sheet2!AB19^2</f>
        <v>0.54904032679040693</v>
      </c>
      <c r="W19" s="1">
        <f>Sheet2!AC19^2</f>
        <v>6.7095217428515722E-2</v>
      </c>
      <c r="X19" s="1">
        <f t="shared" si="8"/>
        <v>31.295298627053196</v>
      </c>
      <c r="Y19" s="1">
        <f t="shared" si="9"/>
        <v>3.8244273934253963</v>
      </c>
      <c r="Z19" s="1">
        <f t="shared" si="10"/>
        <v>514.53910000000019</v>
      </c>
      <c r="AA19" s="1">
        <f t="shared" si="11"/>
        <v>1130.3237000000004</v>
      </c>
      <c r="AB19" s="1">
        <f t="shared" si="12"/>
        <v>0.68718418338599419</v>
      </c>
      <c r="AC19" s="1">
        <f t="shared" si="13"/>
        <v>0.31281581661400581</v>
      </c>
      <c r="AD19" s="1">
        <f>ABS(AB19 - Sheet2!AB19)</f>
        <v>5.3788371294951398E-2</v>
      </c>
      <c r="AF19" s="15">
        <f t="shared" si="14"/>
        <v>1</v>
      </c>
      <c r="AG19" s="15">
        <f t="shared" si="15"/>
        <v>1</v>
      </c>
    </row>
    <row r="20" spans="1:33" ht="27.6" x14ac:dyDescent="0.3">
      <c r="A20" s="2">
        <v>202208</v>
      </c>
      <c r="B20" s="6">
        <v>44794</v>
      </c>
      <c r="C20" s="3">
        <v>59</v>
      </c>
      <c r="D20" s="3">
        <v>101</v>
      </c>
      <c r="E20" s="3">
        <v>49</v>
      </c>
      <c r="F20" s="3">
        <v>13</v>
      </c>
      <c r="G20" s="3">
        <v>65</v>
      </c>
      <c r="H20" s="3">
        <v>17</v>
      </c>
      <c r="I20" s="3">
        <v>101</v>
      </c>
      <c r="J20" s="3" t="s">
        <v>19</v>
      </c>
      <c r="K20" s="3" t="s">
        <v>22</v>
      </c>
      <c r="L20" s="3" t="s">
        <v>21</v>
      </c>
      <c r="N20" s="1">
        <f t="shared" si="1"/>
        <v>0.55172413793103448</v>
      </c>
      <c r="O20" s="1">
        <f t="shared" si="2"/>
        <v>0.55238095238095242</v>
      </c>
      <c r="P20" s="1">
        <f t="shared" si="3"/>
        <v>0.33333333333333331</v>
      </c>
      <c r="Q20" s="1">
        <f t="shared" si="4"/>
        <v>0.21052631578947367</v>
      </c>
      <c r="R20" s="1">
        <f t="shared" si="5"/>
        <v>0.29268292682926828</v>
      </c>
      <c r="S20" s="1">
        <f t="shared" si="6"/>
        <v>0.125</v>
      </c>
      <c r="T20" s="1">
        <f t="shared" si="7"/>
        <v>2.0656476662640619</v>
      </c>
      <c r="V20" s="1">
        <f>Sheet2!AB20^2</f>
        <v>0.49338076539895542</v>
      </c>
      <c r="W20" s="1">
        <f>Sheet2!AC20^2</f>
        <v>8.8559402521873581E-2</v>
      </c>
      <c r="X20" s="1">
        <f t="shared" si="8"/>
        <v>29.10946515853837</v>
      </c>
      <c r="Y20" s="1">
        <f t="shared" si="9"/>
        <v>5.2250047487905409</v>
      </c>
      <c r="Z20" s="1">
        <f t="shared" si="10"/>
        <v>255.37909999999991</v>
      </c>
      <c r="AA20" s="1">
        <f t="shared" si="11"/>
        <v>445.20369999999997</v>
      </c>
      <c r="AB20" s="1">
        <f t="shared" si="12"/>
        <v>0.63547620638131574</v>
      </c>
      <c r="AC20" s="1">
        <f t="shared" si="13"/>
        <v>0.36452379361868426</v>
      </c>
      <c r="AD20" s="1">
        <f>ABS(AB20 - Sheet2!AB20)</f>
        <v>6.6934475057225162E-2</v>
      </c>
      <c r="AF20" s="15">
        <f t="shared" si="14"/>
        <v>1</v>
      </c>
      <c r="AG20" s="15">
        <f t="shared" si="15"/>
        <v>0</v>
      </c>
    </row>
    <row r="21" spans="1:33" ht="27.6" x14ac:dyDescent="0.3">
      <c r="A21" s="2">
        <v>202208</v>
      </c>
      <c r="B21" s="6">
        <v>44793</v>
      </c>
      <c r="C21" s="3">
        <v>76</v>
      </c>
      <c r="D21" s="3">
        <v>117</v>
      </c>
      <c r="E21" s="3">
        <v>50</v>
      </c>
      <c r="F21" s="3">
        <v>14</v>
      </c>
      <c r="G21" s="3">
        <v>69</v>
      </c>
      <c r="H21" s="3">
        <v>18</v>
      </c>
      <c r="I21" s="3">
        <v>117</v>
      </c>
      <c r="J21" s="3" t="s">
        <v>19</v>
      </c>
      <c r="K21" s="3" t="s">
        <v>22</v>
      </c>
      <c r="L21" s="3" t="s">
        <v>21</v>
      </c>
      <c r="N21" s="1">
        <f t="shared" si="1"/>
        <v>0.84482758620689657</v>
      </c>
      <c r="O21" s="1">
        <f t="shared" si="2"/>
        <v>0.70476190476190481</v>
      </c>
      <c r="P21" s="1">
        <f t="shared" si="3"/>
        <v>0.41666666666666669</v>
      </c>
      <c r="Q21" s="1">
        <f t="shared" si="4"/>
        <v>0.26315789473684209</v>
      </c>
      <c r="R21" s="1">
        <f t="shared" si="5"/>
        <v>0.31707317073170732</v>
      </c>
      <c r="S21" s="1">
        <f t="shared" si="6"/>
        <v>0.15625</v>
      </c>
      <c r="T21" s="1">
        <f t="shared" si="7"/>
        <v>2.7027372231040174</v>
      </c>
      <c r="V21" s="1">
        <f>Sheet2!AB21^2</f>
        <v>0.61325343596156479</v>
      </c>
      <c r="W21" s="1">
        <f>Sheet2!AC21^2</f>
        <v>4.7043442427409383E-2</v>
      </c>
      <c r="X21" s="1">
        <f t="shared" si="8"/>
        <v>46.607261133078921</v>
      </c>
      <c r="Y21" s="1">
        <f t="shared" si="9"/>
        <v>3.5753016244831133</v>
      </c>
      <c r="Z21" s="1">
        <f t="shared" si="10"/>
        <v>1075.8990999999999</v>
      </c>
      <c r="AA21" s="1">
        <f t="shared" si="11"/>
        <v>1308.4636999999998</v>
      </c>
      <c r="AB21" s="1">
        <f t="shared" si="12"/>
        <v>0.54876871086900025</v>
      </c>
      <c r="AC21" s="1">
        <f t="shared" si="13"/>
        <v>0.45123128913099975</v>
      </c>
      <c r="AD21" s="1">
        <f>ABS(AB21 - Sheet2!AB21)</f>
        <v>0.23433628589807742</v>
      </c>
      <c r="AF21" s="15">
        <f t="shared" si="14"/>
        <v>1</v>
      </c>
      <c r="AG21" s="15">
        <f t="shared" si="15"/>
        <v>0</v>
      </c>
    </row>
    <row r="22" spans="1:33" ht="27.6" x14ac:dyDescent="0.3">
      <c r="A22" s="2">
        <v>202208</v>
      </c>
      <c r="B22" s="6">
        <v>44792</v>
      </c>
      <c r="C22" s="3">
        <v>70</v>
      </c>
      <c r="D22" s="3">
        <v>105</v>
      </c>
      <c r="E22" s="3">
        <v>49</v>
      </c>
      <c r="F22" s="3">
        <v>14</v>
      </c>
      <c r="G22" s="3">
        <v>66</v>
      </c>
      <c r="H22" s="3">
        <v>26</v>
      </c>
      <c r="I22" s="3">
        <v>105</v>
      </c>
      <c r="J22" s="3" t="s">
        <v>19</v>
      </c>
      <c r="K22" s="3" t="s">
        <v>22</v>
      </c>
      <c r="L22" s="3" t="s">
        <v>21</v>
      </c>
      <c r="N22" s="1">
        <f t="shared" si="1"/>
        <v>0.74137931034482762</v>
      </c>
      <c r="O22" s="1">
        <f t="shared" si="2"/>
        <v>0.59047619047619049</v>
      </c>
      <c r="P22" s="1">
        <f t="shared" si="3"/>
        <v>0.33333333333333331</v>
      </c>
      <c r="Q22" s="1">
        <f t="shared" si="4"/>
        <v>0.26315789473684209</v>
      </c>
      <c r="R22" s="1">
        <f t="shared" si="5"/>
        <v>0.29878048780487804</v>
      </c>
      <c r="S22" s="1">
        <f t="shared" si="6"/>
        <v>0.40625</v>
      </c>
      <c r="T22" s="1">
        <f t="shared" si="7"/>
        <v>2.6333772166960712</v>
      </c>
      <c r="V22" s="1">
        <f>Sheet2!AB22^2</f>
        <v>0.76627220131330931</v>
      </c>
      <c r="W22" s="1">
        <f>Sheet2!AC22^2</f>
        <v>1.5532698916325862E-2</v>
      </c>
      <c r="X22" s="1">
        <f t="shared" si="8"/>
        <v>53.639054091931655</v>
      </c>
      <c r="Y22" s="1">
        <f t="shared" si="9"/>
        <v>1.0872889241428103</v>
      </c>
      <c r="Z22" s="1">
        <f t="shared" si="10"/>
        <v>318.09909999999985</v>
      </c>
      <c r="AA22" s="1">
        <f t="shared" si="11"/>
        <v>509.38369999999992</v>
      </c>
      <c r="AB22" s="1">
        <f t="shared" si="12"/>
        <v>0.61558222116520123</v>
      </c>
      <c r="AC22" s="1">
        <f t="shared" si="13"/>
        <v>0.38441777883479877</v>
      </c>
      <c r="AD22" s="1">
        <f>ABS(AB22 - Sheet2!AB22)</f>
        <v>0.25978753003329047</v>
      </c>
      <c r="AF22" s="15">
        <f t="shared" si="14"/>
        <v>1</v>
      </c>
      <c r="AG22" s="15">
        <f t="shared" si="15"/>
        <v>0</v>
      </c>
    </row>
    <row r="23" spans="1:33" x14ac:dyDescent="0.3">
      <c r="A23" s="2">
        <v>202208</v>
      </c>
      <c r="B23" s="6">
        <v>44791</v>
      </c>
      <c r="C23" s="3">
        <v>64</v>
      </c>
      <c r="D23" s="3">
        <v>89</v>
      </c>
      <c r="E23" s="3">
        <v>49</v>
      </c>
      <c r="F23" s="3">
        <v>25</v>
      </c>
      <c r="G23" s="3">
        <v>84</v>
      </c>
      <c r="H23" s="3">
        <v>28</v>
      </c>
      <c r="I23" s="3">
        <v>89</v>
      </c>
      <c r="J23" s="3" t="s">
        <v>19</v>
      </c>
      <c r="K23" s="3" t="s">
        <v>20</v>
      </c>
      <c r="L23" s="3" t="s">
        <v>21</v>
      </c>
      <c r="N23" s="1">
        <f t="shared" si="1"/>
        <v>0.63793103448275867</v>
      </c>
      <c r="O23" s="1">
        <f t="shared" si="2"/>
        <v>0.43809523809523809</v>
      </c>
      <c r="P23" s="1">
        <f t="shared" si="3"/>
        <v>0.33333333333333331</v>
      </c>
      <c r="Q23" s="1">
        <f t="shared" si="4"/>
        <v>0.84210526315789469</v>
      </c>
      <c r="R23" s="1">
        <f t="shared" si="5"/>
        <v>0.40853658536585363</v>
      </c>
      <c r="S23" s="1">
        <f t="shared" si="6"/>
        <v>0.46875</v>
      </c>
      <c r="T23" s="1">
        <f t="shared" si="7"/>
        <v>3.1287514544350787</v>
      </c>
      <c r="V23" s="1">
        <f>Sheet2!AB23^2</f>
        <v>0.79420226974111918</v>
      </c>
      <c r="W23" s="1">
        <f>Sheet2!AC23^2</f>
        <v>1.1841734113022216E-2</v>
      </c>
      <c r="X23" s="1">
        <f t="shared" si="8"/>
        <v>50.828945263431628</v>
      </c>
      <c r="Y23" s="1">
        <f t="shared" si="9"/>
        <v>0.75787098323342184</v>
      </c>
      <c r="Z23" s="1">
        <f t="shared" si="10"/>
        <v>495.69909999999999</v>
      </c>
      <c r="AA23" s="1">
        <f t="shared" si="11"/>
        <v>1201.8637000000003</v>
      </c>
      <c r="AB23" s="1">
        <f t="shared" si="12"/>
        <v>0.70799366008727349</v>
      </c>
      <c r="AC23" s="1">
        <f t="shared" si="13"/>
        <v>0.29200633991272651</v>
      </c>
      <c r="AD23" s="1">
        <f>ABS(AB23 - Sheet2!AB23)</f>
        <v>0.18318660772677497</v>
      </c>
      <c r="AF23" s="15">
        <f t="shared" si="14"/>
        <v>1</v>
      </c>
      <c r="AG23" s="15">
        <f t="shared" si="15"/>
        <v>1</v>
      </c>
    </row>
    <row r="24" spans="1:33" ht="27.6" x14ac:dyDescent="0.3">
      <c r="A24" s="2">
        <v>202208</v>
      </c>
      <c r="B24" s="6">
        <v>44790</v>
      </c>
      <c r="C24" s="3">
        <v>55</v>
      </c>
      <c r="D24" s="3">
        <v>78</v>
      </c>
      <c r="E24" s="3">
        <v>48</v>
      </c>
      <c r="F24" s="3">
        <v>17</v>
      </c>
      <c r="G24" s="3">
        <v>108</v>
      </c>
      <c r="H24" s="3">
        <v>25</v>
      </c>
      <c r="I24" s="3">
        <v>108</v>
      </c>
      <c r="J24" s="3" t="s">
        <v>25</v>
      </c>
      <c r="K24" s="3" t="s">
        <v>22</v>
      </c>
      <c r="L24" s="3" t="s">
        <v>23</v>
      </c>
      <c r="N24" s="1">
        <f t="shared" si="1"/>
        <v>0.48275862068965519</v>
      </c>
      <c r="O24" s="1">
        <f t="shared" si="2"/>
        <v>0.33333333333333331</v>
      </c>
      <c r="P24" s="1">
        <f t="shared" si="3"/>
        <v>0.25</v>
      </c>
      <c r="Q24" s="1">
        <f t="shared" si="4"/>
        <v>0.42105263157894735</v>
      </c>
      <c r="R24" s="1">
        <f t="shared" si="5"/>
        <v>0.55487804878048785</v>
      </c>
      <c r="S24" s="1">
        <f t="shared" si="6"/>
        <v>0.375</v>
      </c>
      <c r="T24" s="1">
        <f t="shared" si="7"/>
        <v>2.4170226343824237</v>
      </c>
      <c r="V24" s="1">
        <f>Sheet2!AB24^2</f>
        <v>0.62269724427641271</v>
      </c>
      <c r="W24" s="1">
        <f>Sheet2!AC24^2</f>
        <v>4.4473883308247697E-2</v>
      </c>
      <c r="X24" s="1">
        <f t="shared" si="8"/>
        <v>34.248348435202701</v>
      </c>
      <c r="Y24" s="1">
        <f t="shared" si="9"/>
        <v>2.4460635819536232</v>
      </c>
      <c r="Z24" s="1">
        <f t="shared" si="10"/>
        <v>2205.6791000000003</v>
      </c>
      <c r="AA24" s="1">
        <f t="shared" si="11"/>
        <v>3581.8437000000004</v>
      </c>
      <c r="AB24" s="1">
        <f t="shared" si="12"/>
        <v>0.61889064177855158</v>
      </c>
      <c r="AC24" s="1">
        <f t="shared" si="13"/>
        <v>0.38110935822144842</v>
      </c>
      <c r="AD24" s="1">
        <f>ABS(AB24 - Sheet2!AB24)</f>
        <v>0.17022103870553096</v>
      </c>
      <c r="AF24" s="15">
        <f t="shared" si="14"/>
        <v>1</v>
      </c>
      <c r="AG24" s="15">
        <f t="shared" si="15"/>
        <v>0</v>
      </c>
    </row>
    <row r="25" spans="1:33" ht="27.6" x14ac:dyDescent="0.3">
      <c r="A25" s="2">
        <v>202208</v>
      </c>
      <c r="B25" s="6">
        <v>44789</v>
      </c>
      <c r="C25" s="3">
        <v>61</v>
      </c>
      <c r="D25" s="3">
        <v>89</v>
      </c>
      <c r="E25" s="3">
        <v>51</v>
      </c>
      <c r="F25" s="3">
        <v>15</v>
      </c>
      <c r="G25" s="3">
        <v>181</v>
      </c>
      <c r="H25" s="3">
        <v>33</v>
      </c>
      <c r="I25" s="3">
        <v>181</v>
      </c>
      <c r="J25" s="3" t="s">
        <v>25</v>
      </c>
      <c r="K25" s="3" t="s">
        <v>22</v>
      </c>
      <c r="L25" s="3" t="s">
        <v>23</v>
      </c>
      <c r="N25" s="1">
        <f t="shared" si="1"/>
        <v>0.58620689655172409</v>
      </c>
      <c r="O25" s="1">
        <f t="shared" si="2"/>
        <v>0.43809523809523809</v>
      </c>
      <c r="P25" s="1">
        <f t="shared" si="3"/>
        <v>0.5</v>
      </c>
      <c r="Q25" s="1">
        <f t="shared" si="4"/>
        <v>0.31578947368421051</v>
      </c>
      <c r="R25" s="1">
        <f t="shared" si="5"/>
        <v>1</v>
      </c>
      <c r="S25" s="1">
        <f t="shared" si="6"/>
        <v>0.625</v>
      </c>
      <c r="T25" s="1">
        <f t="shared" si="7"/>
        <v>3.4650916083311727</v>
      </c>
      <c r="V25" s="1">
        <f>Sheet2!AB25^2</f>
        <v>0.576535748852674</v>
      </c>
      <c r="W25" s="1">
        <f>Sheet2!AC25^2</f>
        <v>5.7936724945870599E-2</v>
      </c>
      <c r="X25" s="1">
        <f t="shared" si="8"/>
        <v>35.168680680013111</v>
      </c>
      <c r="Y25" s="1">
        <f t="shared" si="9"/>
        <v>3.5341402216981064</v>
      </c>
      <c r="Z25" s="1">
        <f t="shared" si="10"/>
        <v>13850.139100000002</v>
      </c>
      <c r="AA25" s="1">
        <f t="shared" si="11"/>
        <v>17087.083700000003</v>
      </c>
      <c r="AB25" s="1">
        <f t="shared" si="12"/>
        <v>0.55231472490155131</v>
      </c>
      <c r="AC25" s="1">
        <f t="shared" si="13"/>
        <v>0.44768527509844869</v>
      </c>
      <c r="AD25" s="1">
        <f>ABS(AB25 - Sheet2!AB25)</f>
        <v>0.20698478705185042</v>
      </c>
      <c r="AF25" s="15">
        <f t="shared" si="14"/>
        <v>1</v>
      </c>
      <c r="AG25" s="15">
        <f t="shared" si="15"/>
        <v>0</v>
      </c>
    </row>
    <row r="26" spans="1:33" x14ac:dyDescent="0.3">
      <c r="A26" s="2">
        <v>202208</v>
      </c>
      <c r="B26" s="6">
        <v>44788</v>
      </c>
      <c r="C26" s="3">
        <v>64</v>
      </c>
      <c r="D26" s="3">
        <v>84</v>
      </c>
      <c r="E26" s="3">
        <v>50</v>
      </c>
      <c r="F26" s="3">
        <v>17</v>
      </c>
      <c r="G26" s="3">
        <v>63</v>
      </c>
      <c r="H26" s="3">
        <v>28</v>
      </c>
      <c r="I26" s="3">
        <v>84</v>
      </c>
      <c r="J26" s="3" t="s">
        <v>19</v>
      </c>
      <c r="K26" s="3" t="s">
        <v>20</v>
      </c>
      <c r="L26" s="3" t="s">
        <v>21</v>
      </c>
      <c r="N26" s="1">
        <f t="shared" si="1"/>
        <v>0.63793103448275867</v>
      </c>
      <c r="O26" s="1">
        <f t="shared" si="2"/>
        <v>0.39047619047619048</v>
      </c>
      <c r="P26" s="1">
        <f t="shared" si="3"/>
        <v>0.41666666666666669</v>
      </c>
      <c r="Q26" s="1">
        <f t="shared" si="4"/>
        <v>0.42105263157894735</v>
      </c>
      <c r="R26" s="1">
        <f t="shared" si="5"/>
        <v>0.28048780487804881</v>
      </c>
      <c r="S26" s="1">
        <f t="shared" si="6"/>
        <v>0.46875</v>
      </c>
      <c r="T26" s="1">
        <f t="shared" si="7"/>
        <v>2.6153643280826122</v>
      </c>
      <c r="V26" s="1">
        <f>Sheet2!AB26^2</f>
        <v>0.92627750694899014</v>
      </c>
      <c r="W26" s="1">
        <f>Sheet2!AC26^2</f>
        <v>1.4112706104853568E-3</v>
      </c>
      <c r="X26" s="1">
        <f t="shared" si="8"/>
        <v>59.281760444735369</v>
      </c>
      <c r="Y26" s="1">
        <f t="shared" si="9"/>
        <v>9.0321319071062833E-2</v>
      </c>
      <c r="Z26" s="1">
        <f t="shared" si="10"/>
        <v>92.359100000000069</v>
      </c>
      <c r="AA26" s="1">
        <f t="shared" si="11"/>
        <v>261.78370000000018</v>
      </c>
      <c r="AB26" s="1">
        <f t="shared" si="12"/>
        <v>0.73920379010952642</v>
      </c>
      <c r="AC26" s="1">
        <f t="shared" si="13"/>
        <v>0.26079620989047358</v>
      </c>
      <c r="AD26" s="1">
        <f>ABS(AB26 - Sheet2!AB26)</f>
        <v>0.22322932805972595</v>
      </c>
      <c r="AF26" s="15">
        <f t="shared" si="14"/>
        <v>1</v>
      </c>
      <c r="AG26" s="15">
        <f t="shared" si="15"/>
        <v>1</v>
      </c>
    </row>
    <row r="27" spans="1:33" x14ac:dyDescent="0.3">
      <c r="A27" s="2">
        <v>202208</v>
      </c>
      <c r="B27" s="6">
        <v>44787</v>
      </c>
      <c r="C27" s="3">
        <v>68</v>
      </c>
      <c r="D27" s="3">
        <v>93</v>
      </c>
      <c r="E27" s="3">
        <v>50</v>
      </c>
      <c r="F27" s="3">
        <v>14</v>
      </c>
      <c r="G27" s="3">
        <v>80</v>
      </c>
      <c r="H27" s="3">
        <v>20</v>
      </c>
      <c r="I27" s="3">
        <v>93</v>
      </c>
      <c r="J27" s="3" t="s">
        <v>19</v>
      </c>
      <c r="K27" s="3" t="s">
        <v>20</v>
      </c>
      <c r="L27" s="3" t="s">
        <v>21</v>
      </c>
      <c r="N27" s="1">
        <f t="shared" si="1"/>
        <v>0.7068965517241379</v>
      </c>
      <c r="O27" s="1">
        <f t="shared" si="2"/>
        <v>0.47619047619047616</v>
      </c>
      <c r="P27" s="1">
        <f t="shared" si="3"/>
        <v>0.41666666666666669</v>
      </c>
      <c r="Q27" s="1">
        <f t="shared" si="4"/>
        <v>0.26315789473684209</v>
      </c>
      <c r="R27" s="1">
        <f t="shared" si="5"/>
        <v>0.38414634146341464</v>
      </c>
      <c r="S27" s="1">
        <f t="shared" si="6"/>
        <v>0.21875</v>
      </c>
      <c r="T27" s="1">
        <f t="shared" si="7"/>
        <v>2.4658079307815375</v>
      </c>
      <c r="V27" s="1">
        <f>Sheet2!AB27^2</f>
        <v>0.6528108068051981</v>
      </c>
      <c r="W27" s="1">
        <f>Sheet2!AC27^2</f>
        <v>3.6876641308103225E-2</v>
      </c>
      <c r="X27" s="1">
        <f t="shared" si="8"/>
        <v>44.391134862753468</v>
      </c>
      <c r="Y27" s="1">
        <f t="shared" si="9"/>
        <v>2.5076116089510192</v>
      </c>
      <c r="Z27" s="1">
        <f t="shared" si="10"/>
        <v>447.53909999999996</v>
      </c>
      <c r="AA27" s="1">
        <f t="shared" si="11"/>
        <v>1037.2237000000002</v>
      </c>
      <c r="AB27" s="1">
        <f t="shared" si="12"/>
        <v>0.69857872247338104</v>
      </c>
      <c r="AC27" s="1">
        <f t="shared" si="13"/>
        <v>0.30142127752661896</v>
      </c>
      <c r="AD27" s="1">
        <f>ABS(AB27 - Sheet2!AB27)</f>
        <v>0.10938836027516641</v>
      </c>
      <c r="AF27" s="15">
        <f t="shared" si="14"/>
        <v>1</v>
      </c>
      <c r="AG27" s="15">
        <f t="shared" si="15"/>
        <v>1</v>
      </c>
    </row>
    <row r="28" spans="1:33" x14ac:dyDescent="0.3">
      <c r="A28" s="2">
        <v>202208</v>
      </c>
      <c r="B28" s="6">
        <v>44786</v>
      </c>
      <c r="C28" s="3">
        <v>58</v>
      </c>
      <c r="D28" s="3">
        <v>77</v>
      </c>
      <c r="E28" s="3">
        <v>48</v>
      </c>
      <c r="F28" s="3">
        <v>21</v>
      </c>
      <c r="G28" s="3">
        <v>76</v>
      </c>
      <c r="H28" s="3">
        <v>36</v>
      </c>
      <c r="I28" s="3">
        <v>77</v>
      </c>
      <c r="J28" s="3" t="s">
        <v>19</v>
      </c>
      <c r="K28" s="3" t="s">
        <v>20</v>
      </c>
      <c r="L28" s="3" t="s">
        <v>24</v>
      </c>
      <c r="N28" s="1">
        <f t="shared" si="1"/>
        <v>0.53448275862068961</v>
      </c>
      <c r="O28" s="1">
        <f t="shared" si="2"/>
        <v>0.32380952380952382</v>
      </c>
      <c r="P28" s="1">
        <f t="shared" si="3"/>
        <v>0.25</v>
      </c>
      <c r="Q28" s="1">
        <f t="shared" si="4"/>
        <v>0.63157894736842102</v>
      </c>
      <c r="R28" s="1">
        <f t="shared" si="5"/>
        <v>0.3597560975609756</v>
      </c>
      <c r="S28" s="1">
        <f t="shared" si="6"/>
        <v>0.71875</v>
      </c>
      <c r="T28" s="1">
        <f t="shared" si="7"/>
        <v>2.81837732735961</v>
      </c>
      <c r="V28" s="1">
        <f>Sheet2!AB28^2</f>
        <v>0.84602038813917757</v>
      </c>
      <c r="W28" s="1">
        <f>Sheet2!AC28^2</f>
        <v>6.4330560027795703E-3</v>
      </c>
      <c r="X28" s="1">
        <f t="shared" si="8"/>
        <v>49.069182512072302</v>
      </c>
      <c r="Y28" s="1">
        <f t="shared" si="9"/>
        <v>0.37311724816121505</v>
      </c>
      <c r="Z28" s="1">
        <f t="shared" si="10"/>
        <v>438.69910000000016</v>
      </c>
      <c r="AA28" s="1">
        <f t="shared" si="11"/>
        <v>973.78370000000029</v>
      </c>
      <c r="AB28" s="1">
        <f t="shared" si="12"/>
        <v>0.68941278435390496</v>
      </c>
      <c r="AC28" s="1">
        <f t="shared" si="13"/>
        <v>0.31058721564609504</v>
      </c>
      <c r="AD28" s="1">
        <f>ABS(AB28 - Sheet2!AB28)</f>
        <v>0.23038088171429405</v>
      </c>
      <c r="AF28" s="15">
        <f t="shared" si="14"/>
        <v>1</v>
      </c>
      <c r="AG28" s="15">
        <f t="shared" si="15"/>
        <v>1</v>
      </c>
    </row>
    <row r="29" spans="1:33" x14ac:dyDescent="0.3">
      <c r="A29" s="2">
        <v>202208</v>
      </c>
      <c r="B29" s="6">
        <v>44785</v>
      </c>
      <c r="C29" s="3">
        <v>65</v>
      </c>
      <c r="D29" s="3">
        <v>94</v>
      </c>
      <c r="E29" s="3">
        <v>49</v>
      </c>
      <c r="F29" s="3">
        <v>17</v>
      </c>
      <c r="G29" s="3">
        <v>97</v>
      </c>
      <c r="H29" s="3">
        <v>25</v>
      </c>
      <c r="I29" s="3">
        <v>97</v>
      </c>
      <c r="J29" s="3" t="s">
        <v>25</v>
      </c>
      <c r="K29" s="3" t="s">
        <v>20</v>
      </c>
      <c r="L29" s="3" t="s">
        <v>23</v>
      </c>
      <c r="N29" s="1">
        <f t="shared" si="1"/>
        <v>0.65517241379310343</v>
      </c>
      <c r="O29" s="1">
        <f t="shared" si="2"/>
        <v>0.48571428571428571</v>
      </c>
      <c r="P29" s="1">
        <f t="shared" si="3"/>
        <v>0.33333333333333331</v>
      </c>
      <c r="Q29" s="1">
        <f t="shared" si="4"/>
        <v>0.42105263157894735</v>
      </c>
      <c r="R29" s="1">
        <f t="shared" si="5"/>
        <v>0.48780487804878048</v>
      </c>
      <c r="S29" s="1">
        <f t="shared" si="6"/>
        <v>0.375</v>
      </c>
      <c r="T29" s="1">
        <f t="shared" si="7"/>
        <v>2.7580775424684503</v>
      </c>
      <c r="V29" s="1">
        <f>Sheet2!AB29^2</f>
        <v>0.76343763241435769</v>
      </c>
      <c r="W29" s="1">
        <f>Sheet2!AC29^2</f>
        <v>1.5939269136889339E-2</v>
      </c>
      <c r="X29" s="1">
        <f t="shared" si="8"/>
        <v>49.623446106933251</v>
      </c>
      <c r="Y29" s="1">
        <f t="shared" si="9"/>
        <v>1.0360524938978071</v>
      </c>
      <c r="Z29" s="1">
        <f t="shared" si="10"/>
        <v>1173.3990999999999</v>
      </c>
      <c r="AA29" s="1">
        <f t="shared" si="11"/>
        <v>2207.8037000000004</v>
      </c>
      <c r="AB29" s="1">
        <f t="shared" si="12"/>
        <v>0.65296399849189768</v>
      </c>
      <c r="AC29" s="1">
        <f t="shared" si="13"/>
        <v>0.34703600150810232</v>
      </c>
      <c r="AD29" s="1">
        <f>ABS(AB29 - Sheet2!AB29)</f>
        <v>0.22078518314683648</v>
      </c>
      <c r="AF29" s="15">
        <f t="shared" si="14"/>
        <v>1</v>
      </c>
      <c r="AG29" s="15">
        <f t="shared" si="15"/>
        <v>1</v>
      </c>
    </row>
    <row r="30" spans="1:33" ht="27.6" x14ac:dyDescent="0.3">
      <c r="A30" s="2">
        <v>202208</v>
      </c>
      <c r="B30" s="6">
        <v>44784</v>
      </c>
      <c r="C30" s="3">
        <v>74</v>
      </c>
      <c r="D30" s="3">
        <v>107</v>
      </c>
      <c r="E30" s="3">
        <v>52</v>
      </c>
      <c r="F30" s="3">
        <v>19</v>
      </c>
      <c r="G30" s="3">
        <v>80</v>
      </c>
      <c r="H30" s="3">
        <v>27</v>
      </c>
      <c r="I30" s="3">
        <v>107</v>
      </c>
      <c r="J30" s="3" t="s">
        <v>19</v>
      </c>
      <c r="K30" s="3" t="s">
        <v>22</v>
      </c>
      <c r="L30" s="3" t="s">
        <v>21</v>
      </c>
      <c r="N30" s="1">
        <f t="shared" si="1"/>
        <v>0.81034482758620685</v>
      </c>
      <c r="O30" s="1">
        <f t="shared" si="2"/>
        <v>0.60952380952380958</v>
      </c>
      <c r="P30" s="1">
        <f t="shared" si="3"/>
        <v>0.58333333333333337</v>
      </c>
      <c r="Q30" s="1">
        <f t="shared" si="4"/>
        <v>0.52631578947368418</v>
      </c>
      <c r="R30" s="1">
        <f t="shared" si="5"/>
        <v>0.38414634146341464</v>
      </c>
      <c r="S30" s="1">
        <f t="shared" si="6"/>
        <v>0.4375</v>
      </c>
      <c r="T30" s="1">
        <f t="shared" si="7"/>
        <v>3.3511641013804487</v>
      </c>
      <c r="V30" s="1">
        <f>Sheet2!AB30^2</f>
        <v>0.84246785308802108</v>
      </c>
      <c r="W30" s="1">
        <f>Sheet2!AC30^2</f>
        <v>6.7469014311293245E-3</v>
      </c>
      <c r="X30" s="1">
        <f t="shared" si="8"/>
        <v>62.342621128513557</v>
      </c>
      <c r="Y30" s="1">
        <f t="shared" si="9"/>
        <v>0.49927070590357003</v>
      </c>
      <c r="Z30" s="1">
        <f t="shared" si="10"/>
        <v>736.47909999999968</v>
      </c>
      <c r="AA30" s="1">
        <f t="shared" si="11"/>
        <v>1274.2237</v>
      </c>
      <c r="AB30" s="1">
        <f t="shared" si="12"/>
        <v>0.63372055780695191</v>
      </c>
      <c r="AC30" s="1">
        <f t="shared" si="13"/>
        <v>0.36627944219304809</v>
      </c>
      <c r="AD30" s="1">
        <f>ABS(AB30 - Sheet2!AB30)</f>
        <v>0.28413991802149396</v>
      </c>
      <c r="AF30" s="15">
        <f t="shared" si="14"/>
        <v>1</v>
      </c>
      <c r="AG30" s="15">
        <f t="shared" si="15"/>
        <v>0</v>
      </c>
    </row>
    <row r="31" spans="1:33" ht="27.6" x14ac:dyDescent="0.3">
      <c r="A31" s="2">
        <v>202208</v>
      </c>
      <c r="B31" s="6">
        <v>44783</v>
      </c>
      <c r="C31" s="3">
        <v>73</v>
      </c>
      <c r="D31" s="3">
        <v>116</v>
      </c>
      <c r="E31" s="3">
        <v>49</v>
      </c>
      <c r="F31" s="3">
        <v>19</v>
      </c>
      <c r="G31" s="3">
        <v>82</v>
      </c>
      <c r="H31" s="3">
        <v>29</v>
      </c>
      <c r="I31" s="3">
        <v>116</v>
      </c>
      <c r="J31" s="3" t="s">
        <v>19</v>
      </c>
      <c r="K31" s="3" t="s">
        <v>22</v>
      </c>
      <c r="L31" s="3" t="s">
        <v>21</v>
      </c>
      <c r="N31" s="1">
        <f t="shared" si="1"/>
        <v>0.7931034482758621</v>
      </c>
      <c r="O31" s="1">
        <f t="shared" si="2"/>
        <v>0.69523809523809521</v>
      </c>
      <c r="P31" s="1">
        <f t="shared" si="3"/>
        <v>0.33333333333333331</v>
      </c>
      <c r="Q31" s="1">
        <f t="shared" si="4"/>
        <v>0.52631578947368418</v>
      </c>
      <c r="R31" s="1">
        <f t="shared" si="5"/>
        <v>0.39634146341463417</v>
      </c>
      <c r="S31" s="1">
        <f t="shared" si="6"/>
        <v>0.5</v>
      </c>
      <c r="T31" s="1">
        <f t="shared" si="7"/>
        <v>3.2443321297356089</v>
      </c>
      <c r="V31" s="1">
        <f>Sheet2!AB31^2</f>
        <v>0.81386166673131033</v>
      </c>
      <c r="W31" s="1">
        <f>Sheet2!AC31^2</f>
        <v>9.5760277801931071E-3</v>
      </c>
      <c r="X31" s="1">
        <f t="shared" si="8"/>
        <v>59.411901671385657</v>
      </c>
      <c r="Y31" s="1">
        <f t="shared" si="9"/>
        <v>0.69905002795409688</v>
      </c>
      <c r="Z31" s="1">
        <f t="shared" si="10"/>
        <v>1109.1190999999997</v>
      </c>
      <c r="AA31" s="1">
        <f t="shared" si="11"/>
        <v>1684.4837000000002</v>
      </c>
      <c r="AB31" s="1">
        <f t="shared" si="12"/>
        <v>0.60297895606347485</v>
      </c>
      <c r="AC31" s="1">
        <f t="shared" si="13"/>
        <v>0.39702104393652515</v>
      </c>
      <c r="AD31" s="1">
        <f>ABS(AB31 - Sheet2!AB31)</f>
        <v>0.29916386341208379</v>
      </c>
      <c r="AF31" s="15">
        <f t="shared" si="14"/>
        <v>1</v>
      </c>
      <c r="AG31" s="15">
        <f t="shared" si="15"/>
        <v>0</v>
      </c>
    </row>
    <row r="32" spans="1:33" ht="27.6" x14ac:dyDescent="0.3">
      <c r="A32" s="2">
        <v>202208</v>
      </c>
      <c r="B32" s="6">
        <v>44782</v>
      </c>
      <c r="C32" s="3">
        <v>61</v>
      </c>
      <c r="D32" s="3">
        <v>88</v>
      </c>
      <c r="E32" s="3">
        <v>50</v>
      </c>
      <c r="F32" s="3">
        <v>14</v>
      </c>
      <c r="G32" s="3">
        <v>103</v>
      </c>
      <c r="H32" s="3">
        <v>21</v>
      </c>
      <c r="I32" s="3">
        <v>103</v>
      </c>
      <c r="J32" s="3" t="s">
        <v>25</v>
      </c>
      <c r="K32" s="3" t="s">
        <v>22</v>
      </c>
      <c r="L32" s="3" t="s">
        <v>23</v>
      </c>
      <c r="N32" s="1">
        <f t="shared" si="1"/>
        <v>0.58620689655172409</v>
      </c>
      <c r="O32" s="1">
        <f t="shared" si="2"/>
        <v>0.42857142857142855</v>
      </c>
      <c r="P32" s="1">
        <f t="shared" si="3"/>
        <v>0.41666666666666669</v>
      </c>
      <c r="Q32" s="1">
        <f t="shared" si="4"/>
        <v>0.26315789473684209</v>
      </c>
      <c r="R32" s="1">
        <f t="shared" si="5"/>
        <v>0.52439024390243905</v>
      </c>
      <c r="S32" s="1">
        <f t="shared" si="6"/>
        <v>0.25</v>
      </c>
      <c r="T32" s="1">
        <f t="shared" si="7"/>
        <v>2.4689931304291006</v>
      </c>
      <c r="V32" s="1">
        <f>Sheet2!AB32^2</f>
        <v>0.60905602199361364</v>
      </c>
      <c r="W32" s="1">
        <f>Sheet2!AC32^2</f>
        <v>4.8215194755149016E-2</v>
      </c>
      <c r="X32" s="1">
        <f t="shared" si="8"/>
        <v>37.15241734161043</v>
      </c>
      <c r="Y32" s="1">
        <f t="shared" si="9"/>
        <v>2.9411268800640897</v>
      </c>
      <c r="Z32" s="1">
        <f t="shared" si="10"/>
        <v>1660.7191</v>
      </c>
      <c r="AA32" s="1">
        <f t="shared" si="11"/>
        <v>2870.6037000000006</v>
      </c>
      <c r="AB32" s="1">
        <f t="shared" si="12"/>
        <v>0.63350236270962645</v>
      </c>
      <c r="AC32" s="1">
        <f t="shared" si="13"/>
        <v>0.36649763729037355</v>
      </c>
      <c r="AD32" s="1">
        <f>ABS(AB32 - Sheet2!AB32)</f>
        <v>0.14691805090960586</v>
      </c>
      <c r="AF32" s="15">
        <f t="shared" si="14"/>
        <v>1</v>
      </c>
      <c r="AG32" s="15">
        <f t="shared" si="15"/>
        <v>0</v>
      </c>
    </row>
    <row r="33" spans="1:33" x14ac:dyDescent="0.3">
      <c r="A33" s="2">
        <v>202208</v>
      </c>
      <c r="B33" s="6">
        <v>44781</v>
      </c>
      <c r="C33" s="3">
        <v>60</v>
      </c>
      <c r="D33" s="3">
        <v>84</v>
      </c>
      <c r="E33" s="3">
        <v>48</v>
      </c>
      <c r="F33" s="3">
        <v>18</v>
      </c>
      <c r="G33" s="3">
        <v>97</v>
      </c>
      <c r="H33" s="3">
        <v>27</v>
      </c>
      <c r="I33" s="3">
        <v>97</v>
      </c>
      <c r="J33" s="3" t="s">
        <v>25</v>
      </c>
      <c r="K33" s="3" t="s">
        <v>20</v>
      </c>
      <c r="L33" s="3" t="s">
        <v>23</v>
      </c>
      <c r="N33" s="1">
        <f t="shared" si="1"/>
        <v>0.56896551724137934</v>
      </c>
      <c r="O33" s="1">
        <f t="shared" si="2"/>
        <v>0.39047619047619048</v>
      </c>
      <c r="P33" s="1">
        <f t="shared" si="3"/>
        <v>0.25</v>
      </c>
      <c r="Q33" s="1">
        <f t="shared" si="4"/>
        <v>0.47368421052631576</v>
      </c>
      <c r="R33" s="1">
        <f t="shared" si="5"/>
        <v>0.48780487804878048</v>
      </c>
      <c r="S33" s="1">
        <f t="shared" si="6"/>
        <v>0.4375</v>
      </c>
      <c r="T33" s="1">
        <f t="shared" si="7"/>
        <v>2.6084307962926658</v>
      </c>
      <c r="V33" s="1">
        <f>Sheet2!AB33^2</f>
        <v>0.75074522048420411</v>
      </c>
      <c r="W33" s="1">
        <f>Sheet2!AC33^2</f>
        <v>1.7834120070563033E-2</v>
      </c>
      <c r="X33" s="1">
        <f t="shared" si="8"/>
        <v>45.044713229052249</v>
      </c>
      <c r="Y33" s="1">
        <f t="shared" si="9"/>
        <v>1.0700472042337821</v>
      </c>
      <c r="Z33" s="1">
        <f t="shared" si="10"/>
        <v>1185.5391000000002</v>
      </c>
      <c r="AA33" s="1">
        <f t="shared" si="11"/>
        <v>2252.9037000000008</v>
      </c>
      <c r="AB33" s="1">
        <f t="shared" si="12"/>
        <v>0.65521046329460542</v>
      </c>
      <c r="AC33" s="1">
        <f t="shared" si="13"/>
        <v>0.34478953670539458</v>
      </c>
      <c r="AD33" s="1">
        <f>ABS(AB33 - Sheet2!AB33)</f>
        <v>0.21124508691221511</v>
      </c>
      <c r="AF33" s="15">
        <f t="shared" si="14"/>
        <v>1</v>
      </c>
      <c r="AG33" s="15">
        <f t="shared" si="15"/>
        <v>1</v>
      </c>
    </row>
    <row r="34" spans="1:33" ht="27.6" x14ac:dyDescent="0.3">
      <c r="A34" s="2">
        <v>202208</v>
      </c>
      <c r="B34" s="6">
        <v>44780</v>
      </c>
      <c r="C34" s="3">
        <v>76</v>
      </c>
      <c r="D34" s="3">
        <v>119</v>
      </c>
      <c r="E34" s="3">
        <v>50</v>
      </c>
      <c r="F34" s="3">
        <v>18</v>
      </c>
      <c r="G34" s="3">
        <v>114</v>
      </c>
      <c r="H34" s="3">
        <v>29</v>
      </c>
      <c r="I34" s="3">
        <v>119</v>
      </c>
      <c r="J34" s="3" t="s">
        <v>19</v>
      </c>
      <c r="K34" s="3" t="s">
        <v>22</v>
      </c>
      <c r="L34" s="3" t="s">
        <v>21</v>
      </c>
      <c r="N34" s="1">
        <f t="shared" si="1"/>
        <v>0.84482758620689657</v>
      </c>
      <c r="O34" s="1">
        <f t="shared" si="2"/>
        <v>0.72380952380952379</v>
      </c>
      <c r="P34" s="1">
        <f t="shared" si="3"/>
        <v>0.41666666666666669</v>
      </c>
      <c r="Q34" s="1">
        <f t="shared" si="4"/>
        <v>0.47368421052631576</v>
      </c>
      <c r="R34" s="1">
        <f t="shared" si="5"/>
        <v>0.59146341463414631</v>
      </c>
      <c r="S34" s="1">
        <f t="shared" si="6"/>
        <v>0.5</v>
      </c>
      <c r="T34" s="1">
        <f t="shared" si="7"/>
        <v>3.5504514018435489</v>
      </c>
      <c r="V34" s="1">
        <f>Sheet2!AB34^2</f>
        <v>0.74337619981066261</v>
      </c>
      <c r="W34" s="1">
        <f>Sheet2!AC34^2</f>
        <v>1.8990860264234428E-2</v>
      </c>
      <c r="X34" s="1">
        <f t="shared" si="8"/>
        <v>56.496591185610356</v>
      </c>
      <c r="Y34" s="1">
        <f t="shared" si="9"/>
        <v>1.4433053800818165</v>
      </c>
      <c r="Z34" s="1">
        <f t="shared" si="10"/>
        <v>3562.4791</v>
      </c>
      <c r="AA34" s="1">
        <f t="shared" si="11"/>
        <v>4960.2236999999996</v>
      </c>
      <c r="AB34" s="1">
        <f t="shared" si="12"/>
        <v>0.5820012519971951</v>
      </c>
      <c r="AC34" s="1">
        <f t="shared" si="13"/>
        <v>0.4179987480028049</v>
      </c>
      <c r="AD34" s="1">
        <f>ABS(AB34 - Sheet2!AB34)</f>
        <v>0.28019141777601897</v>
      </c>
      <c r="AF34" s="15">
        <f t="shared" si="14"/>
        <v>1</v>
      </c>
      <c r="AG34" s="15">
        <f t="shared" si="15"/>
        <v>0</v>
      </c>
    </row>
    <row r="35" spans="1:33" ht="27.6" x14ac:dyDescent="0.3">
      <c r="A35" s="2">
        <v>202208</v>
      </c>
      <c r="B35" s="6">
        <v>44779</v>
      </c>
      <c r="C35" s="3">
        <v>69</v>
      </c>
      <c r="D35" s="3">
        <v>101</v>
      </c>
      <c r="E35" s="3">
        <v>49</v>
      </c>
      <c r="F35" s="3">
        <v>19</v>
      </c>
      <c r="G35" s="3">
        <v>87</v>
      </c>
      <c r="H35" s="3">
        <v>29</v>
      </c>
      <c r="I35" s="3">
        <v>101</v>
      </c>
      <c r="J35" s="3" t="s">
        <v>19</v>
      </c>
      <c r="K35" s="3" t="s">
        <v>22</v>
      </c>
      <c r="L35" s="3" t="s">
        <v>21</v>
      </c>
      <c r="N35" s="1">
        <f t="shared" si="1"/>
        <v>0.72413793103448276</v>
      </c>
      <c r="O35" s="1">
        <f t="shared" si="2"/>
        <v>0.55238095238095242</v>
      </c>
      <c r="P35" s="1">
        <f t="shared" si="3"/>
        <v>0.33333333333333331</v>
      </c>
      <c r="Q35" s="1">
        <f t="shared" si="4"/>
        <v>0.52631578947368418</v>
      </c>
      <c r="R35" s="1">
        <f t="shared" si="5"/>
        <v>0.42682926829268292</v>
      </c>
      <c r="S35" s="1">
        <f t="shared" si="6"/>
        <v>0.5</v>
      </c>
      <c r="T35" s="1">
        <f t="shared" si="7"/>
        <v>3.0629972745151357</v>
      </c>
      <c r="V35" s="1">
        <f>Sheet2!AB35^2</f>
        <v>0.85049548875736125</v>
      </c>
      <c r="W35" s="1">
        <f>Sheet2!AC35^2</f>
        <v>6.0492425822538188E-3</v>
      </c>
      <c r="X35" s="1">
        <f t="shared" si="8"/>
        <v>58.684188724257929</v>
      </c>
      <c r="Y35" s="1">
        <f t="shared" si="9"/>
        <v>0.41739773817551351</v>
      </c>
      <c r="Z35" s="1">
        <f t="shared" si="10"/>
        <v>727.73909999999989</v>
      </c>
      <c r="AA35" s="1">
        <f t="shared" si="11"/>
        <v>1476.8437000000001</v>
      </c>
      <c r="AB35" s="1">
        <f t="shared" si="12"/>
        <v>0.66989713427864905</v>
      </c>
      <c r="AC35" s="1">
        <f t="shared" si="13"/>
        <v>0.33010286572135095</v>
      </c>
      <c r="AD35" s="1">
        <f>ABS(AB35 - Sheet2!AB35)</f>
        <v>0.25232598880890467</v>
      </c>
      <c r="AF35" s="15">
        <f t="shared" si="14"/>
        <v>1</v>
      </c>
      <c r="AG35" s="15">
        <f t="shared" si="15"/>
        <v>0</v>
      </c>
    </row>
    <row r="36" spans="1:33" x14ac:dyDescent="0.3">
      <c r="A36" s="2">
        <v>202208</v>
      </c>
      <c r="B36" s="6">
        <v>44778</v>
      </c>
      <c r="C36" s="3">
        <v>60</v>
      </c>
      <c r="D36" s="3">
        <v>82</v>
      </c>
      <c r="E36" s="3">
        <v>47</v>
      </c>
      <c r="F36" s="3">
        <v>17</v>
      </c>
      <c r="G36" s="3">
        <v>79</v>
      </c>
      <c r="H36" s="3">
        <v>26</v>
      </c>
      <c r="I36" s="3">
        <v>82</v>
      </c>
      <c r="J36" s="3" t="s">
        <v>19</v>
      </c>
      <c r="K36" s="3" t="s">
        <v>20</v>
      </c>
      <c r="L36" s="3" t="s">
        <v>21</v>
      </c>
      <c r="N36" s="1">
        <f t="shared" si="1"/>
        <v>0.56896551724137934</v>
      </c>
      <c r="O36" s="1">
        <f t="shared" si="2"/>
        <v>0.37142857142857144</v>
      </c>
      <c r="P36" s="1">
        <f t="shared" si="3"/>
        <v>0.16666666666666666</v>
      </c>
      <c r="Q36" s="1">
        <f t="shared" si="4"/>
        <v>0.42105263157894735</v>
      </c>
      <c r="R36" s="1">
        <f t="shared" si="5"/>
        <v>0.37804878048780488</v>
      </c>
      <c r="S36" s="1">
        <f t="shared" si="6"/>
        <v>0.40625</v>
      </c>
      <c r="T36" s="1">
        <f t="shared" si="7"/>
        <v>2.3124121674033695</v>
      </c>
      <c r="V36" s="1">
        <f>Sheet2!AB36^2</f>
        <v>0.70013443018722588</v>
      </c>
      <c r="W36" s="1">
        <f>Sheet2!AC36^2</f>
        <v>2.6653710026726538E-2</v>
      </c>
      <c r="X36" s="1">
        <f t="shared" si="8"/>
        <v>42.00806581123355</v>
      </c>
      <c r="Y36" s="1">
        <f t="shared" si="9"/>
        <v>1.5992226016035922</v>
      </c>
      <c r="Z36" s="1">
        <f t="shared" si="10"/>
        <v>346.11910000000006</v>
      </c>
      <c r="AA36" s="1">
        <f t="shared" si="11"/>
        <v>952.06370000000038</v>
      </c>
      <c r="AB36" s="1">
        <f t="shared" si="12"/>
        <v>0.73338184730224432</v>
      </c>
      <c r="AC36" s="1">
        <f t="shared" si="13"/>
        <v>0.26661815269775568</v>
      </c>
      <c r="AD36" s="1">
        <f>ABS(AB36 - Sheet2!AB36)</f>
        <v>0.10335851277800534</v>
      </c>
      <c r="AF36" s="15">
        <f t="shared" si="14"/>
        <v>1</v>
      </c>
      <c r="AG36" s="15">
        <f t="shared" si="15"/>
        <v>1</v>
      </c>
    </row>
    <row r="37" spans="1:33" x14ac:dyDescent="0.3">
      <c r="A37" s="2">
        <v>202208</v>
      </c>
      <c r="B37" s="6">
        <v>44777</v>
      </c>
      <c r="C37" s="3">
        <v>69</v>
      </c>
      <c r="D37" s="3">
        <v>99</v>
      </c>
      <c r="E37" s="3">
        <v>48</v>
      </c>
      <c r="F37" s="3">
        <v>15</v>
      </c>
      <c r="G37" s="3">
        <v>82</v>
      </c>
      <c r="H37" s="3">
        <v>20</v>
      </c>
      <c r="I37" s="3">
        <v>99</v>
      </c>
      <c r="J37" s="3" t="s">
        <v>19</v>
      </c>
      <c r="K37" s="3" t="s">
        <v>20</v>
      </c>
      <c r="L37" s="3" t="s">
        <v>21</v>
      </c>
      <c r="N37" s="1">
        <f t="shared" si="1"/>
        <v>0.72413793103448276</v>
      </c>
      <c r="O37" s="1">
        <f t="shared" si="2"/>
        <v>0.53333333333333333</v>
      </c>
      <c r="P37" s="1">
        <f t="shared" si="3"/>
        <v>0.25</v>
      </c>
      <c r="Q37" s="1">
        <f t="shared" si="4"/>
        <v>0.31578947368421051</v>
      </c>
      <c r="R37" s="1">
        <f t="shared" si="5"/>
        <v>0.39634146341463417</v>
      </c>
      <c r="S37" s="1">
        <f t="shared" si="6"/>
        <v>0.21875</v>
      </c>
      <c r="T37" s="1">
        <f t="shared" si="7"/>
        <v>2.4383522014666608</v>
      </c>
      <c r="V37" s="1">
        <f>Sheet2!AB37^2</f>
        <v>0.61546792936188777</v>
      </c>
      <c r="W37" s="1">
        <f>Sheet2!AC37^2</f>
        <v>4.6432646951848691E-2</v>
      </c>
      <c r="X37" s="1">
        <f t="shared" si="8"/>
        <v>42.467287125970259</v>
      </c>
      <c r="Y37" s="1">
        <f t="shared" si="9"/>
        <v>3.2038526396775597</v>
      </c>
      <c r="Z37" s="1">
        <f t="shared" si="10"/>
        <v>570.39909999999998</v>
      </c>
      <c r="AA37" s="1">
        <f t="shared" si="11"/>
        <v>1201.2837000000002</v>
      </c>
      <c r="AB37" s="1">
        <f t="shared" si="12"/>
        <v>0.6780467135539161</v>
      </c>
      <c r="AC37" s="1">
        <f t="shared" si="13"/>
        <v>0.3219532864460839</v>
      </c>
      <c r="AD37" s="1">
        <f>ABS(AB37 - Sheet2!AB37)</f>
        <v>0.10647092765110344</v>
      </c>
      <c r="AF37" s="15">
        <f t="shared" si="14"/>
        <v>1</v>
      </c>
      <c r="AG37" s="15">
        <f t="shared" si="15"/>
        <v>1</v>
      </c>
    </row>
    <row r="38" spans="1:33" ht="27.6" x14ac:dyDescent="0.3">
      <c r="A38" s="2">
        <v>202208</v>
      </c>
      <c r="B38" s="6">
        <v>44776</v>
      </c>
      <c r="C38" s="3">
        <v>82</v>
      </c>
      <c r="D38" s="3">
        <v>141</v>
      </c>
      <c r="E38" s="3">
        <v>51</v>
      </c>
      <c r="F38" s="3">
        <v>19</v>
      </c>
      <c r="G38" s="3">
        <v>129</v>
      </c>
      <c r="H38" s="3">
        <v>24</v>
      </c>
      <c r="I38" s="3">
        <v>141</v>
      </c>
      <c r="J38" s="3" t="s">
        <v>19</v>
      </c>
      <c r="K38" s="3" t="s">
        <v>22</v>
      </c>
      <c r="L38" s="3" t="s">
        <v>21</v>
      </c>
      <c r="N38" s="1">
        <f t="shared" si="1"/>
        <v>0.94827586206896552</v>
      </c>
      <c r="O38" s="1">
        <f t="shared" si="2"/>
        <v>0.93333333333333335</v>
      </c>
      <c r="P38" s="1">
        <f t="shared" si="3"/>
        <v>0.5</v>
      </c>
      <c r="Q38" s="1">
        <f t="shared" si="4"/>
        <v>0.52631578947368418</v>
      </c>
      <c r="R38" s="1">
        <f t="shared" si="5"/>
        <v>0.68292682926829273</v>
      </c>
      <c r="S38" s="1">
        <f t="shared" si="6"/>
        <v>0.34375</v>
      </c>
      <c r="T38" s="1">
        <f t="shared" si="7"/>
        <v>3.9346018141442758</v>
      </c>
      <c r="V38" s="1">
        <f>Sheet2!AB38^2</f>
        <v>0.63549639879859898</v>
      </c>
      <c r="W38" s="1">
        <f>Sheet2!AC38^2</f>
        <v>4.1135838826546749E-2</v>
      </c>
      <c r="X38" s="1">
        <f t="shared" si="8"/>
        <v>52.110704701485119</v>
      </c>
      <c r="Y38" s="1">
        <f t="shared" si="9"/>
        <v>3.3731387837768332</v>
      </c>
      <c r="Z38" s="1">
        <f t="shared" si="10"/>
        <v>7242.6991000000007</v>
      </c>
      <c r="AA38" s="1">
        <f t="shared" si="11"/>
        <v>8967.6237000000019</v>
      </c>
      <c r="AB38" s="1">
        <f t="shared" si="12"/>
        <v>0.55320451114027169</v>
      </c>
      <c r="AC38" s="1">
        <f t="shared" si="13"/>
        <v>0.44679548885972831</v>
      </c>
      <c r="AD38" s="1">
        <f>ABS(AB38 - Sheet2!AB38)</f>
        <v>0.24397576884575445</v>
      </c>
      <c r="AF38" s="15">
        <f t="shared" si="14"/>
        <v>1</v>
      </c>
      <c r="AG38" s="15">
        <f t="shared" si="15"/>
        <v>0</v>
      </c>
    </row>
    <row r="39" spans="1:33" ht="27.6" x14ac:dyDescent="0.3">
      <c r="A39" s="2">
        <v>202208</v>
      </c>
      <c r="B39" s="6">
        <v>44775</v>
      </c>
      <c r="C39" s="3">
        <v>67</v>
      </c>
      <c r="D39" s="3">
        <v>113</v>
      </c>
      <c r="E39" s="3">
        <v>50</v>
      </c>
      <c r="F39" s="3">
        <v>15</v>
      </c>
      <c r="G39" s="3">
        <v>84</v>
      </c>
      <c r="H39" s="3">
        <v>28</v>
      </c>
      <c r="I39" s="3">
        <v>113</v>
      </c>
      <c r="J39" s="3" t="s">
        <v>19</v>
      </c>
      <c r="K39" s="3" t="s">
        <v>22</v>
      </c>
      <c r="L39" s="3" t="s">
        <v>21</v>
      </c>
      <c r="N39" s="1">
        <f t="shared" si="1"/>
        <v>0.68965517241379315</v>
      </c>
      <c r="O39" s="1">
        <f t="shared" si="2"/>
        <v>0.66666666666666663</v>
      </c>
      <c r="P39" s="1">
        <f t="shared" si="3"/>
        <v>0.41666666666666669</v>
      </c>
      <c r="Q39" s="1">
        <f t="shared" si="4"/>
        <v>0.31578947368421051</v>
      </c>
      <c r="R39" s="1">
        <f t="shared" si="5"/>
        <v>0.40853658536585363</v>
      </c>
      <c r="S39" s="1">
        <f t="shared" si="6"/>
        <v>0.46875</v>
      </c>
      <c r="T39" s="1">
        <f t="shared" si="7"/>
        <v>2.9660645647971906</v>
      </c>
      <c r="V39" s="1">
        <f>Sheet2!AB39^2</f>
        <v>0.80160562638091759</v>
      </c>
      <c r="W39" s="1">
        <f>Sheet2!AC39^2</f>
        <v>1.09569993399589E-2</v>
      </c>
      <c r="X39" s="1">
        <f t="shared" si="8"/>
        <v>53.707576967521476</v>
      </c>
      <c r="Y39" s="1">
        <f t="shared" si="9"/>
        <v>0.73411895577724628</v>
      </c>
      <c r="Z39" s="1">
        <f t="shared" si="10"/>
        <v>940.4790999999999</v>
      </c>
      <c r="AA39" s="1">
        <f t="shared" si="11"/>
        <v>1579.9637</v>
      </c>
      <c r="AB39" s="1">
        <f t="shared" si="12"/>
        <v>0.62685957403992665</v>
      </c>
      <c r="AC39" s="1">
        <f t="shared" si="13"/>
        <v>0.37314042596007335</v>
      </c>
      <c r="AD39" s="1">
        <f>ABS(AB39 - Sheet2!AB39)</f>
        <v>0.26846473948055272</v>
      </c>
      <c r="AF39" s="15">
        <f t="shared" si="14"/>
        <v>1</v>
      </c>
      <c r="AG39" s="15">
        <f t="shared" si="15"/>
        <v>0</v>
      </c>
    </row>
    <row r="40" spans="1:33" ht="27.6" x14ac:dyDescent="0.3">
      <c r="A40" s="2">
        <v>202209</v>
      </c>
      <c r="B40" s="6">
        <v>44805</v>
      </c>
      <c r="C40" s="3">
        <v>83</v>
      </c>
      <c r="D40" s="3">
        <v>130</v>
      </c>
      <c r="E40" s="3">
        <v>51</v>
      </c>
      <c r="F40" s="3">
        <v>15</v>
      </c>
      <c r="G40" s="3">
        <v>42</v>
      </c>
      <c r="H40" s="3">
        <v>25</v>
      </c>
      <c r="I40" s="3">
        <v>130</v>
      </c>
      <c r="J40" s="3" t="s">
        <v>19</v>
      </c>
      <c r="K40" s="3" t="s">
        <v>22</v>
      </c>
      <c r="L40" s="3" t="s">
        <v>21</v>
      </c>
      <c r="N40" s="1">
        <f t="shared" si="1"/>
        <v>0.96551724137931039</v>
      </c>
      <c r="O40" s="1">
        <f t="shared" si="2"/>
        <v>0.82857142857142863</v>
      </c>
      <c r="P40" s="1">
        <f t="shared" si="3"/>
        <v>0.5</v>
      </c>
      <c r="Q40" s="1">
        <f t="shared" si="4"/>
        <v>0.31578947368421051</v>
      </c>
      <c r="R40" s="1">
        <f t="shared" si="5"/>
        <v>0.1524390243902439</v>
      </c>
      <c r="S40" s="1">
        <f t="shared" si="6"/>
        <v>0.375</v>
      </c>
      <c r="T40" s="1">
        <f t="shared" si="7"/>
        <v>3.1373171680251932</v>
      </c>
      <c r="V40" s="1">
        <f>Sheet2!AB40^2</f>
        <v>0.70529243246048867</v>
      </c>
      <c r="W40" s="1">
        <f>Sheet2!AC40^2</f>
        <v>2.5658624202880786E-2</v>
      </c>
      <c r="X40" s="1">
        <f t="shared" si="8"/>
        <v>58.539271894220562</v>
      </c>
      <c r="Y40" s="1">
        <f t="shared" si="9"/>
        <v>2.1296658088391052</v>
      </c>
      <c r="Z40" s="1">
        <f t="shared" si="10"/>
        <v>2509.6790999999998</v>
      </c>
      <c r="AA40" s="1">
        <f t="shared" si="11"/>
        <v>1990.4436999999996</v>
      </c>
      <c r="AB40" s="1">
        <f t="shared" si="12"/>
        <v>0.44230875210783133</v>
      </c>
      <c r="AC40" s="1">
        <f t="shared" si="13"/>
        <v>0.55769124789216873</v>
      </c>
      <c r="AD40" s="1">
        <f>ABS(AB40 - Sheet2!AB40)</f>
        <v>0.39750815202097262</v>
      </c>
      <c r="AF40" s="15">
        <f t="shared" si="14"/>
        <v>2</v>
      </c>
      <c r="AG40" s="15">
        <f t="shared" si="15"/>
        <v>1</v>
      </c>
    </row>
    <row r="41" spans="1:33" ht="27.6" x14ac:dyDescent="0.3">
      <c r="A41" s="2">
        <v>202209</v>
      </c>
      <c r="B41" s="6">
        <v>44834</v>
      </c>
      <c r="C41" s="3">
        <v>71</v>
      </c>
      <c r="D41" s="3">
        <v>103</v>
      </c>
      <c r="E41" s="3">
        <v>51</v>
      </c>
      <c r="F41" s="3">
        <v>14</v>
      </c>
      <c r="G41" s="3">
        <v>45</v>
      </c>
      <c r="H41" s="3">
        <v>23</v>
      </c>
      <c r="I41" s="3">
        <v>103</v>
      </c>
      <c r="J41" s="3" t="s">
        <v>19</v>
      </c>
      <c r="K41" s="3" t="s">
        <v>22</v>
      </c>
      <c r="L41" s="3" t="s">
        <v>21</v>
      </c>
      <c r="N41" s="1">
        <f t="shared" si="1"/>
        <v>0.75862068965517238</v>
      </c>
      <c r="O41" s="1">
        <f t="shared" si="2"/>
        <v>0.5714285714285714</v>
      </c>
      <c r="P41" s="1">
        <f t="shared" si="3"/>
        <v>0.5</v>
      </c>
      <c r="Q41" s="1">
        <f t="shared" si="4"/>
        <v>0.26315789473684209</v>
      </c>
      <c r="R41" s="1">
        <f t="shared" si="5"/>
        <v>0.17073170731707318</v>
      </c>
      <c r="S41" s="1">
        <f t="shared" si="6"/>
        <v>0.3125</v>
      </c>
      <c r="T41" s="1">
        <f t="shared" si="7"/>
        <v>2.5764388631376591</v>
      </c>
      <c r="V41" s="1">
        <f>Sheet2!AB41^2</f>
        <v>0.75902167906295537</v>
      </c>
      <c r="W41" s="1">
        <f>Sheet2!AC41^2</f>
        <v>1.6584674103573348E-2</v>
      </c>
      <c r="X41" s="1">
        <f t="shared" si="8"/>
        <v>53.890539213469829</v>
      </c>
      <c r="Y41" s="1">
        <f t="shared" si="9"/>
        <v>1.1775118613537077</v>
      </c>
      <c r="Z41" s="1">
        <f t="shared" si="10"/>
        <v>665.8590999999999</v>
      </c>
      <c r="AA41" s="1">
        <f t="shared" si="11"/>
        <v>308.20369999999986</v>
      </c>
      <c r="AB41" s="1">
        <f t="shared" si="12"/>
        <v>0.31641050248505531</v>
      </c>
      <c r="AC41" s="1">
        <f t="shared" si="13"/>
        <v>0.68358949751494469</v>
      </c>
      <c r="AD41" s="1">
        <f>ABS(AB41 - Sheet2!AB41)</f>
        <v>0.5548079999946357</v>
      </c>
      <c r="AF41" s="15">
        <f t="shared" si="14"/>
        <v>2</v>
      </c>
      <c r="AG41" s="15">
        <f t="shared" si="15"/>
        <v>1</v>
      </c>
    </row>
    <row r="42" spans="1:33" x14ac:dyDescent="0.3">
      <c r="A42" s="2">
        <v>202209</v>
      </c>
      <c r="B42" s="6">
        <v>44833</v>
      </c>
      <c r="C42" s="3">
        <v>62</v>
      </c>
      <c r="D42" s="3">
        <v>100</v>
      </c>
      <c r="E42" s="3">
        <v>51</v>
      </c>
      <c r="F42" s="3">
        <v>14</v>
      </c>
      <c r="G42" s="3">
        <v>50</v>
      </c>
      <c r="H42" s="3">
        <v>21</v>
      </c>
      <c r="I42" s="3">
        <v>100</v>
      </c>
      <c r="J42" s="3" t="s">
        <v>19</v>
      </c>
      <c r="K42" s="3" t="s">
        <v>20</v>
      </c>
      <c r="L42" s="3" t="s">
        <v>21</v>
      </c>
      <c r="N42" s="1">
        <f t="shared" si="1"/>
        <v>0.60344827586206895</v>
      </c>
      <c r="O42" s="1">
        <f t="shared" si="2"/>
        <v>0.54285714285714282</v>
      </c>
      <c r="P42" s="1">
        <f t="shared" si="3"/>
        <v>0.5</v>
      </c>
      <c r="Q42" s="1">
        <f t="shared" si="4"/>
        <v>0.26315789473684209</v>
      </c>
      <c r="R42" s="1">
        <f t="shared" si="5"/>
        <v>0.20121951219512196</v>
      </c>
      <c r="S42" s="1">
        <f t="shared" si="6"/>
        <v>0.25</v>
      </c>
      <c r="T42" s="1">
        <f t="shared" si="7"/>
        <v>2.3606828256511756</v>
      </c>
      <c r="V42" s="1">
        <f>Sheet2!AB42^2</f>
        <v>0.71388683202414571</v>
      </c>
      <c r="W42" s="1">
        <f>Sheet2!AC42^2</f>
        <v>2.4050352332520977E-2</v>
      </c>
      <c r="X42" s="1">
        <f t="shared" si="8"/>
        <v>44.260983585497037</v>
      </c>
      <c r="Y42" s="1">
        <f t="shared" si="9"/>
        <v>1.4911218446163006</v>
      </c>
      <c r="Z42" s="1">
        <f t="shared" si="10"/>
        <v>348.57909999999993</v>
      </c>
      <c r="AA42" s="1">
        <f t="shared" si="11"/>
        <v>138.78369999999993</v>
      </c>
      <c r="AB42" s="1">
        <f t="shared" si="12"/>
        <v>0.28476465581698063</v>
      </c>
      <c r="AC42" s="1">
        <f t="shared" si="13"/>
        <v>0.71523534418301937</v>
      </c>
      <c r="AD42" s="1">
        <f>ABS(AB42 - Sheet2!AB42)</f>
        <v>0.56015358402883175</v>
      </c>
      <c r="AF42" s="15">
        <f t="shared" si="14"/>
        <v>2</v>
      </c>
      <c r="AG42" s="15">
        <f t="shared" si="15"/>
        <v>0</v>
      </c>
    </row>
    <row r="43" spans="1:33" x14ac:dyDescent="0.3">
      <c r="A43" s="2">
        <v>202209</v>
      </c>
      <c r="B43" s="6">
        <v>44832</v>
      </c>
      <c r="C43" s="3">
        <v>62</v>
      </c>
      <c r="D43" s="3">
        <v>92</v>
      </c>
      <c r="E43" s="3">
        <v>51</v>
      </c>
      <c r="F43" s="3">
        <v>13</v>
      </c>
      <c r="G43" s="3">
        <v>55</v>
      </c>
      <c r="H43" s="3">
        <v>24</v>
      </c>
      <c r="I43" s="3">
        <v>92</v>
      </c>
      <c r="J43" s="3" t="s">
        <v>19</v>
      </c>
      <c r="K43" s="3" t="s">
        <v>20</v>
      </c>
      <c r="L43" s="3" t="s">
        <v>21</v>
      </c>
      <c r="N43" s="1">
        <f t="shared" si="1"/>
        <v>0.60344827586206895</v>
      </c>
      <c r="O43" s="1">
        <f t="shared" si="2"/>
        <v>0.46666666666666667</v>
      </c>
      <c r="P43" s="1">
        <f t="shared" si="3"/>
        <v>0.5</v>
      </c>
      <c r="Q43" s="1">
        <f t="shared" si="4"/>
        <v>0.21052631578947367</v>
      </c>
      <c r="R43" s="1">
        <f t="shared" si="5"/>
        <v>0.23170731707317074</v>
      </c>
      <c r="S43" s="1">
        <f t="shared" si="6"/>
        <v>0.34375</v>
      </c>
      <c r="T43" s="1">
        <f t="shared" si="7"/>
        <v>2.3560985753913801</v>
      </c>
      <c r="V43" s="1">
        <f>Sheet2!AB43^2</f>
        <v>0.75427666553912298</v>
      </c>
      <c r="W43" s="1">
        <f>Sheet2!AC43^2</f>
        <v>1.7294609743355151E-2</v>
      </c>
      <c r="X43" s="1">
        <f t="shared" si="8"/>
        <v>46.765153263425624</v>
      </c>
      <c r="Y43" s="1">
        <f t="shared" si="9"/>
        <v>1.0722658040880193</v>
      </c>
      <c r="Z43" s="1">
        <f t="shared" si="10"/>
        <v>144.07909999999998</v>
      </c>
      <c r="AA43" s="1">
        <f t="shared" si="11"/>
        <v>84.903700000000043</v>
      </c>
      <c r="AB43" s="1">
        <f t="shared" si="12"/>
        <v>0.37078636474005922</v>
      </c>
      <c r="AC43" s="1">
        <f t="shared" si="13"/>
        <v>0.62921363525994078</v>
      </c>
      <c r="AD43" s="1">
        <f>ABS(AB43 - Sheet2!AB43)</f>
        <v>0.49770466315782469</v>
      </c>
      <c r="AF43" s="15">
        <f t="shared" si="14"/>
        <v>2</v>
      </c>
      <c r="AG43" s="15">
        <f t="shared" si="15"/>
        <v>0</v>
      </c>
    </row>
    <row r="44" spans="1:33" x14ac:dyDescent="0.3">
      <c r="A44" s="2">
        <v>202209</v>
      </c>
      <c r="B44" s="6">
        <v>44831</v>
      </c>
      <c r="C44" s="3">
        <v>63</v>
      </c>
      <c r="D44" s="3">
        <v>86</v>
      </c>
      <c r="E44" s="3">
        <v>51</v>
      </c>
      <c r="F44" s="3">
        <v>14</v>
      </c>
      <c r="G44" s="3">
        <v>58</v>
      </c>
      <c r="H44" s="3">
        <v>26</v>
      </c>
      <c r="I44" s="3">
        <v>86</v>
      </c>
      <c r="J44" s="3" t="s">
        <v>19</v>
      </c>
      <c r="K44" s="3" t="s">
        <v>20</v>
      </c>
      <c r="L44" s="3" t="s">
        <v>21</v>
      </c>
      <c r="N44" s="1">
        <f t="shared" si="1"/>
        <v>0.62068965517241381</v>
      </c>
      <c r="O44" s="1">
        <f t="shared" si="2"/>
        <v>0.40952380952380951</v>
      </c>
      <c r="P44" s="1">
        <f t="shared" si="3"/>
        <v>0.5</v>
      </c>
      <c r="Q44" s="1">
        <f t="shared" si="4"/>
        <v>0.26315789473684209</v>
      </c>
      <c r="R44" s="1">
        <f t="shared" si="5"/>
        <v>0.25</v>
      </c>
      <c r="S44" s="1">
        <f t="shared" si="6"/>
        <v>0.40625</v>
      </c>
      <c r="T44" s="1">
        <f t="shared" si="7"/>
        <v>2.4496213594330651</v>
      </c>
      <c r="V44" s="1">
        <f>Sheet2!AB44^2</f>
        <v>0.83319522153162506</v>
      </c>
      <c r="W44" s="1">
        <f>Sheet2!AC44^2</f>
        <v>7.6046633487393414E-3</v>
      </c>
      <c r="X44" s="1">
        <f t="shared" si="8"/>
        <v>52.491298956492379</v>
      </c>
      <c r="Y44" s="1">
        <f t="shared" si="9"/>
        <v>0.47909379097057853</v>
      </c>
      <c r="Z44" s="1">
        <f t="shared" si="10"/>
        <v>117.61910000000006</v>
      </c>
      <c r="AA44" s="1">
        <f t="shared" si="11"/>
        <v>150.60370000000015</v>
      </c>
      <c r="AB44" s="1">
        <f t="shared" si="12"/>
        <v>0.56148731576883104</v>
      </c>
      <c r="AC44" s="1">
        <f t="shared" si="13"/>
        <v>0.43851268423116896</v>
      </c>
      <c r="AD44" s="1">
        <f>ABS(AB44 - Sheet2!AB44)</f>
        <v>0.35130796332261183</v>
      </c>
      <c r="AF44" s="15">
        <f t="shared" si="14"/>
        <v>1</v>
      </c>
      <c r="AG44" s="15">
        <f t="shared" si="15"/>
        <v>1</v>
      </c>
    </row>
    <row r="45" spans="1:33" x14ac:dyDescent="0.3">
      <c r="A45" s="2">
        <v>202209</v>
      </c>
      <c r="B45" s="6">
        <v>44830</v>
      </c>
      <c r="C45" s="3">
        <v>57</v>
      </c>
      <c r="D45" s="3">
        <v>79</v>
      </c>
      <c r="E45" s="3">
        <v>51</v>
      </c>
      <c r="F45" s="3">
        <v>14</v>
      </c>
      <c r="G45" s="3">
        <v>56</v>
      </c>
      <c r="H45" s="3">
        <v>26</v>
      </c>
      <c r="I45" s="3">
        <v>79</v>
      </c>
      <c r="J45" s="3" t="s">
        <v>19</v>
      </c>
      <c r="K45" s="3" t="s">
        <v>20</v>
      </c>
      <c r="L45" s="3" t="s">
        <v>24</v>
      </c>
      <c r="N45" s="1">
        <f t="shared" si="1"/>
        <v>0.51724137931034486</v>
      </c>
      <c r="O45" s="1">
        <f t="shared" si="2"/>
        <v>0.34285714285714286</v>
      </c>
      <c r="P45" s="1">
        <f t="shared" si="3"/>
        <v>0.5</v>
      </c>
      <c r="Q45" s="1">
        <f t="shared" si="4"/>
        <v>0.26315789473684209</v>
      </c>
      <c r="R45" s="1">
        <f t="shared" si="5"/>
        <v>0.23780487804878048</v>
      </c>
      <c r="S45" s="1">
        <f t="shared" si="6"/>
        <v>0.40625</v>
      </c>
      <c r="T45" s="1">
        <f t="shared" si="7"/>
        <v>2.2673112949531102</v>
      </c>
      <c r="V45" s="1">
        <f>Sheet2!AB45^2</f>
        <v>0.79903583703203451</v>
      </c>
      <c r="W45" s="1">
        <f>Sheet2!AC45^2</f>
        <v>1.1259746989397761E-2</v>
      </c>
      <c r="X45" s="1">
        <f t="shared" si="8"/>
        <v>45.545042710825967</v>
      </c>
      <c r="Y45" s="1">
        <f t="shared" si="9"/>
        <v>0.64180557839567243</v>
      </c>
      <c r="Z45" s="1">
        <f t="shared" si="10"/>
        <v>268.83910000000009</v>
      </c>
      <c r="AA45" s="1">
        <f t="shared" si="11"/>
        <v>273.68370000000016</v>
      </c>
      <c r="AB45" s="1">
        <f t="shared" si="12"/>
        <v>0.50446488147594915</v>
      </c>
      <c r="AC45" s="1">
        <f t="shared" si="13"/>
        <v>0.49553511852405085</v>
      </c>
      <c r="AD45" s="1">
        <f>ABS(AB45 - Sheet2!AB45)</f>
        <v>0.38942316354536921</v>
      </c>
      <c r="AF45" s="15">
        <f t="shared" si="14"/>
        <v>1</v>
      </c>
      <c r="AG45" s="15">
        <f t="shared" si="15"/>
        <v>1</v>
      </c>
    </row>
    <row r="46" spans="1:33" x14ac:dyDescent="0.3">
      <c r="A46" s="2">
        <v>202209</v>
      </c>
      <c r="B46" s="6">
        <v>44829</v>
      </c>
      <c r="C46" s="3">
        <v>58</v>
      </c>
      <c r="D46" s="3">
        <v>94</v>
      </c>
      <c r="E46" s="3">
        <v>50</v>
      </c>
      <c r="F46" s="3">
        <v>14</v>
      </c>
      <c r="G46" s="3">
        <v>48</v>
      </c>
      <c r="H46" s="3">
        <v>25</v>
      </c>
      <c r="I46" s="3">
        <v>94</v>
      </c>
      <c r="J46" s="3" t="s">
        <v>19</v>
      </c>
      <c r="K46" s="3" t="s">
        <v>20</v>
      </c>
      <c r="L46" s="3" t="s">
        <v>21</v>
      </c>
      <c r="N46" s="1">
        <f t="shared" si="1"/>
        <v>0.53448275862068961</v>
      </c>
      <c r="O46" s="1">
        <f t="shared" si="2"/>
        <v>0.48571428571428571</v>
      </c>
      <c r="P46" s="1">
        <f t="shared" si="3"/>
        <v>0.41666666666666669</v>
      </c>
      <c r="Q46" s="1">
        <f t="shared" si="4"/>
        <v>0.26315789473684209</v>
      </c>
      <c r="R46" s="1">
        <f t="shared" si="5"/>
        <v>0.18902439024390244</v>
      </c>
      <c r="S46" s="1">
        <f t="shared" si="6"/>
        <v>0.375</v>
      </c>
      <c r="T46" s="1">
        <f t="shared" si="7"/>
        <v>2.2640459959823866</v>
      </c>
      <c r="V46" s="1">
        <f>Sheet2!AB46^2</f>
        <v>0.78993635570039622</v>
      </c>
      <c r="W46" s="1">
        <f>Sheet2!AC46^2</f>
        <v>1.23690791109601E-2</v>
      </c>
      <c r="X46" s="1">
        <f t="shared" si="8"/>
        <v>45.816308630622984</v>
      </c>
      <c r="Y46" s="1">
        <f t="shared" si="9"/>
        <v>0.71740658843568583</v>
      </c>
      <c r="Z46" s="1">
        <f t="shared" si="10"/>
        <v>288.45909999999998</v>
      </c>
      <c r="AA46" s="1">
        <f t="shared" si="11"/>
        <v>47.383699999999962</v>
      </c>
      <c r="AB46" s="1">
        <f t="shared" si="12"/>
        <v>0.14108892612853385</v>
      </c>
      <c r="AC46" s="1">
        <f t="shared" si="13"/>
        <v>0.85891107387146615</v>
      </c>
      <c r="AD46" s="1">
        <f>ABS(AB46 - Sheet2!AB46)</f>
        <v>0.74769471216618422</v>
      </c>
      <c r="AF46" s="15">
        <f t="shared" si="14"/>
        <v>2</v>
      </c>
      <c r="AG46" s="15">
        <f t="shared" si="15"/>
        <v>0</v>
      </c>
    </row>
    <row r="47" spans="1:33" x14ac:dyDescent="0.3">
      <c r="A47" s="2">
        <v>202209</v>
      </c>
      <c r="B47" s="6">
        <v>44828</v>
      </c>
      <c r="C47" s="3">
        <v>57</v>
      </c>
      <c r="D47" s="3">
        <v>83</v>
      </c>
      <c r="E47" s="3">
        <v>50</v>
      </c>
      <c r="F47" s="3">
        <v>17</v>
      </c>
      <c r="G47" s="3">
        <v>39</v>
      </c>
      <c r="H47" s="3">
        <v>33</v>
      </c>
      <c r="I47" s="3">
        <v>83</v>
      </c>
      <c r="J47" s="3" t="s">
        <v>19</v>
      </c>
      <c r="K47" s="3" t="s">
        <v>20</v>
      </c>
      <c r="L47" s="3" t="s">
        <v>21</v>
      </c>
      <c r="N47" s="1">
        <f t="shared" si="1"/>
        <v>0.51724137931034486</v>
      </c>
      <c r="O47" s="1">
        <f t="shared" si="2"/>
        <v>0.38095238095238093</v>
      </c>
      <c r="P47" s="1">
        <f t="shared" si="3"/>
        <v>0.41666666666666669</v>
      </c>
      <c r="Q47" s="1">
        <f t="shared" si="4"/>
        <v>0.42105263157894735</v>
      </c>
      <c r="R47" s="1">
        <f t="shared" si="5"/>
        <v>0.13414634146341464</v>
      </c>
      <c r="S47" s="1">
        <f t="shared" si="6"/>
        <v>0.625</v>
      </c>
      <c r="T47" s="1">
        <f t="shared" si="7"/>
        <v>2.4950593999717543</v>
      </c>
      <c r="V47" s="1">
        <f>Sheet2!AB47^2</f>
        <v>0.97278211083630062</v>
      </c>
      <c r="W47" s="1">
        <f>Sheet2!AC47^2</f>
        <v>1.8776750435177441E-4</v>
      </c>
      <c r="X47" s="1">
        <f t="shared" si="8"/>
        <v>55.448580317669133</v>
      </c>
      <c r="Y47" s="1">
        <f t="shared" si="9"/>
        <v>1.070274774805114E-2</v>
      </c>
      <c r="Z47" s="1">
        <f t="shared" si="10"/>
        <v>714.17910000000006</v>
      </c>
      <c r="AA47" s="1">
        <f t="shared" si="11"/>
        <v>264.16370000000006</v>
      </c>
      <c r="AB47" s="1">
        <f t="shared" si="12"/>
        <v>0.27001139069046154</v>
      </c>
      <c r="AC47" s="1">
        <f t="shared" si="13"/>
        <v>0.72998860930953846</v>
      </c>
      <c r="AD47" s="1">
        <f>ABS(AB47 - Sheet2!AB47)</f>
        <v>0.71628578097551288</v>
      </c>
      <c r="AF47" s="15">
        <f t="shared" si="14"/>
        <v>2</v>
      </c>
      <c r="AG47" s="15">
        <f t="shared" si="15"/>
        <v>0</v>
      </c>
    </row>
    <row r="48" spans="1:33" x14ac:dyDescent="0.3">
      <c r="A48" s="2">
        <v>202209</v>
      </c>
      <c r="B48" s="6">
        <v>44827</v>
      </c>
      <c r="C48" s="3">
        <v>73</v>
      </c>
      <c r="D48" s="3">
        <v>97</v>
      </c>
      <c r="E48" s="3">
        <v>50</v>
      </c>
      <c r="F48" s="3">
        <v>24</v>
      </c>
      <c r="G48" s="3">
        <v>50</v>
      </c>
      <c r="H48" s="3">
        <v>45</v>
      </c>
      <c r="I48" s="3">
        <v>97</v>
      </c>
      <c r="J48" s="3" t="s">
        <v>19</v>
      </c>
      <c r="K48" s="3" t="s">
        <v>20</v>
      </c>
      <c r="L48" s="3" t="s">
        <v>23</v>
      </c>
      <c r="N48" s="1">
        <f t="shared" si="1"/>
        <v>0.7931034482758621</v>
      </c>
      <c r="O48" s="1">
        <f t="shared" si="2"/>
        <v>0.51428571428571423</v>
      </c>
      <c r="P48" s="1">
        <f t="shared" si="3"/>
        <v>0.41666666666666669</v>
      </c>
      <c r="Q48" s="1">
        <f t="shared" si="4"/>
        <v>0.78947368421052633</v>
      </c>
      <c r="R48" s="1">
        <f t="shared" si="5"/>
        <v>0.20121951219512196</v>
      </c>
      <c r="S48" s="1">
        <f t="shared" si="6"/>
        <v>1</v>
      </c>
      <c r="T48" s="1">
        <f t="shared" si="7"/>
        <v>3.7147490256338913</v>
      </c>
      <c r="V48" s="1">
        <f>Sheet2!AB48^2</f>
        <v>0.81042301626543767</v>
      </c>
      <c r="W48" s="1">
        <f>Sheet2!AC48^2</f>
        <v>9.953059542540648E-3</v>
      </c>
      <c r="X48" s="1">
        <f t="shared" si="8"/>
        <v>59.160880187376947</v>
      </c>
      <c r="Y48" s="1">
        <f t="shared" si="9"/>
        <v>0.72657334660546735</v>
      </c>
      <c r="Z48" s="1">
        <f t="shared" si="10"/>
        <v>695.57909999999993</v>
      </c>
      <c r="AA48" s="1">
        <f t="shared" si="11"/>
        <v>474.88369999999998</v>
      </c>
      <c r="AB48" s="1">
        <f t="shared" si="12"/>
        <v>0.40572301827960705</v>
      </c>
      <c r="AC48" s="1">
        <f t="shared" si="13"/>
        <v>0.594276981720393</v>
      </c>
      <c r="AD48" s="1">
        <f>ABS(AB48 - Sheet2!AB48)</f>
        <v>0.49451196008184145</v>
      </c>
      <c r="AF48" s="15">
        <f t="shared" si="14"/>
        <v>2</v>
      </c>
      <c r="AG48" s="15">
        <f t="shared" si="15"/>
        <v>0</v>
      </c>
    </row>
    <row r="49" spans="1:33" x14ac:dyDescent="0.3">
      <c r="A49" s="2">
        <v>202209</v>
      </c>
      <c r="B49" s="6">
        <v>44826</v>
      </c>
      <c r="C49" s="3">
        <v>63</v>
      </c>
      <c r="D49" s="3">
        <v>90</v>
      </c>
      <c r="E49" s="3">
        <v>50</v>
      </c>
      <c r="F49" s="3">
        <v>16</v>
      </c>
      <c r="G49" s="3">
        <v>37</v>
      </c>
      <c r="H49" s="3">
        <v>24</v>
      </c>
      <c r="I49" s="3">
        <v>90</v>
      </c>
      <c r="J49" s="3" t="s">
        <v>19</v>
      </c>
      <c r="K49" s="3" t="s">
        <v>20</v>
      </c>
      <c r="L49" s="3" t="s">
        <v>24</v>
      </c>
      <c r="N49" s="1">
        <f t="shared" si="1"/>
        <v>0.62068965517241381</v>
      </c>
      <c r="O49" s="1">
        <f t="shared" si="2"/>
        <v>0.44761904761904764</v>
      </c>
      <c r="P49" s="1">
        <f t="shared" si="3"/>
        <v>0.41666666666666669</v>
      </c>
      <c r="Q49" s="1">
        <f t="shared" si="4"/>
        <v>0.36842105263157893</v>
      </c>
      <c r="R49" s="1">
        <f t="shared" si="5"/>
        <v>0.12195121951219512</v>
      </c>
      <c r="S49" s="1">
        <f t="shared" si="6"/>
        <v>0.34375</v>
      </c>
      <c r="T49" s="1">
        <f t="shared" si="7"/>
        <v>2.3190976416019025</v>
      </c>
      <c r="V49" s="1">
        <f>Sheet2!AB49^2</f>
        <v>0.83707273917041547</v>
      </c>
      <c r="W49" s="1">
        <f>Sheet2!AC49^2</f>
        <v>7.2391520151075424E-3</v>
      </c>
      <c r="X49" s="1">
        <f t="shared" si="8"/>
        <v>52.735582567736174</v>
      </c>
      <c r="Y49" s="1">
        <f t="shared" si="9"/>
        <v>0.45606657695177516</v>
      </c>
      <c r="Z49" s="1">
        <f t="shared" si="10"/>
        <v>755.73909999999989</v>
      </c>
      <c r="AA49" s="1">
        <f t="shared" si="11"/>
        <v>233.00369999999998</v>
      </c>
      <c r="AB49" s="1">
        <f t="shared" si="12"/>
        <v>0.23565653272013715</v>
      </c>
      <c r="AC49" s="1">
        <f t="shared" si="13"/>
        <v>0.7643434672798628</v>
      </c>
      <c r="AD49" s="1">
        <f>ABS(AB49 - Sheet2!AB49)</f>
        <v>0.6792602608575169</v>
      </c>
      <c r="AF49" s="15">
        <f t="shared" si="14"/>
        <v>2</v>
      </c>
      <c r="AG49" s="15">
        <f t="shared" si="15"/>
        <v>0</v>
      </c>
    </row>
    <row r="50" spans="1:33" ht="27.6" x14ac:dyDescent="0.3">
      <c r="A50" s="2">
        <v>202209</v>
      </c>
      <c r="B50" s="6">
        <v>44825</v>
      </c>
      <c r="C50" s="3">
        <v>69</v>
      </c>
      <c r="D50" s="3">
        <v>112</v>
      </c>
      <c r="E50" s="3">
        <v>50</v>
      </c>
      <c r="F50" s="3">
        <v>17</v>
      </c>
      <c r="G50" s="3">
        <v>42</v>
      </c>
      <c r="H50" s="3">
        <v>32</v>
      </c>
      <c r="I50" s="3">
        <v>112</v>
      </c>
      <c r="J50" s="3" t="s">
        <v>19</v>
      </c>
      <c r="K50" s="3" t="s">
        <v>22</v>
      </c>
      <c r="L50" s="3" t="s">
        <v>21</v>
      </c>
      <c r="N50" s="1">
        <f t="shared" si="1"/>
        <v>0.72413793103448276</v>
      </c>
      <c r="O50" s="1">
        <f t="shared" si="2"/>
        <v>0.65714285714285714</v>
      </c>
      <c r="P50" s="1">
        <f t="shared" si="3"/>
        <v>0.41666666666666669</v>
      </c>
      <c r="Q50" s="1">
        <f t="shared" si="4"/>
        <v>0.42105263157894735</v>
      </c>
      <c r="R50" s="1">
        <f t="shared" si="5"/>
        <v>0.1524390243902439</v>
      </c>
      <c r="S50" s="1">
        <f t="shared" si="6"/>
        <v>0.59375</v>
      </c>
      <c r="T50" s="1">
        <f t="shared" si="7"/>
        <v>2.9651891108131978</v>
      </c>
      <c r="V50" s="1">
        <f>Sheet2!AB50^2</f>
        <v>0.90348848448309371</v>
      </c>
      <c r="W50" s="1">
        <f>Sheet2!AC50^2</f>
        <v>2.4482592557644282E-3</v>
      </c>
      <c r="X50" s="1">
        <f t="shared" si="8"/>
        <v>62.340705429333468</v>
      </c>
      <c r="Y50" s="1">
        <f t="shared" si="9"/>
        <v>0.16892988864774555</v>
      </c>
      <c r="Z50" s="1">
        <f t="shared" si="10"/>
        <v>979.25909999999976</v>
      </c>
      <c r="AA50" s="1">
        <f t="shared" si="11"/>
        <v>520.48369999999966</v>
      </c>
      <c r="AB50" s="1">
        <f t="shared" si="12"/>
        <v>0.34704864060690932</v>
      </c>
      <c r="AC50" s="1">
        <f t="shared" si="13"/>
        <v>0.65295135939309068</v>
      </c>
      <c r="AD50" s="1">
        <f>ABS(AB50 - Sheet2!AB50)</f>
        <v>0.60347147200675533</v>
      </c>
      <c r="AF50" s="15">
        <f t="shared" si="14"/>
        <v>2</v>
      </c>
      <c r="AG50" s="15">
        <f t="shared" si="15"/>
        <v>1</v>
      </c>
    </row>
    <row r="51" spans="1:33" ht="27.6" x14ac:dyDescent="0.3">
      <c r="A51" s="2">
        <v>202209</v>
      </c>
      <c r="B51" s="6">
        <v>44824</v>
      </c>
      <c r="C51" s="3">
        <v>66</v>
      </c>
      <c r="D51" s="3">
        <v>110</v>
      </c>
      <c r="E51" s="3">
        <v>51</v>
      </c>
      <c r="F51" s="3">
        <v>21</v>
      </c>
      <c r="G51" s="3">
        <v>37</v>
      </c>
      <c r="H51" s="3">
        <v>41</v>
      </c>
      <c r="I51" s="3">
        <v>110</v>
      </c>
      <c r="J51" s="3" t="s">
        <v>19</v>
      </c>
      <c r="K51" s="3" t="s">
        <v>22</v>
      </c>
      <c r="L51" s="3" t="s">
        <v>21</v>
      </c>
      <c r="N51" s="1">
        <f t="shared" si="1"/>
        <v>0.67241379310344829</v>
      </c>
      <c r="O51" s="1">
        <f t="shared" si="2"/>
        <v>0.63809523809523805</v>
      </c>
      <c r="P51" s="1">
        <f t="shared" si="3"/>
        <v>0.5</v>
      </c>
      <c r="Q51" s="1">
        <f t="shared" si="4"/>
        <v>0.63157894736842102</v>
      </c>
      <c r="R51" s="1">
        <f t="shared" si="5"/>
        <v>0.12195121951219512</v>
      </c>
      <c r="S51" s="1">
        <f t="shared" si="6"/>
        <v>0.875</v>
      </c>
      <c r="T51" s="1">
        <f t="shared" si="7"/>
        <v>3.4390391980793025</v>
      </c>
      <c r="V51" s="1">
        <f>Sheet2!AB51^2</f>
        <v>0.88228318906890646</v>
      </c>
      <c r="W51" s="1">
        <f>Sheet2!AC51^2</f>
        <v>3.6845740700489002E-3</v>
      </c>
      <c r="X51" s="1">
        <f t="shared" si="8"/>
        <v>58.230690478547828</v>
      </c>
      <c r="Y51" s="1">
        <f t="shared" si="9"/>
        <v>0.24318188862322743</v>
      </c>
      <c r="Z51" s="1">
        <f t="shared" si="10"/>
        <v>1246.2990999999997</v>
      </c>
      <c r="AA51" s="1">
        <f t="shared" si="11"/>
        <v>657.90369999999962</v>
      </c>
      <c r="AB51" s="1">
        <f t="shared" si="12"/>
        <v>0.34550085736666275</v>
      </c>
      <c r="AC51" s="1">
        <f t="shared" si="13"/>
        <v>0.65449914263333731</v>
      </c>
      <c r="AD51" s="1">
        <f>ABS(AB51 - Sheet2!AB51)</f>
        <v>0.593798450132766</v>
      </c>
      <c r="AF51" s="15">
        <f t="shared" si="14"/>
        <v>2</v>
      </c>
      <c r="AG51" s="15">
        <f t="shared" si="15"/>
        <v>1</v>
      </c>
    </row>
    <row r="52" spans="1:33" ht="27.6" x14ac:dyDescent="0.3">
      <c r="A52" s="2">
        <v>202209</v>
      </c>
      <c r="B52" s="6">
        <v>44823</v>
      </c>
      <c r="C52" s="3">
        <v>70</v>
      </c>
      <c r="D52" s="3">
        <v>113</v>
      </c>
      <c r="E52" s="3">
        <v>51</v>
      </c>
      <c r="F52" s="3">
        <v>17</v>
      </c>
      <c r="G52" s="3">
        <v>46</v>
      </c>
      <c r="H52" s="3">
        <v>28</v>
      </c>
      <c r="I52" s="3">
        <v>113</v>
      </c>
      <c r="J52" s="3" t="s">
        <v>19</v>
      </c>
      <c r="K52" s="3" t="s">
        <v>22</v>
      </c>
      <c r="L52" s="3" t="s">
        <v>21</v>
      </c>
      <c r="N52" s="1">
        <f t="shared" si="1"/>
        <v>0.74137931034482762</v>
      </c>
      <c r="O52" s="1">
        <f t="shared" si="2"/>
        <v>0.66666666666666663</v>
      </c>
      <c r="P52" s="1">
        <f t="shared" si="3"/>
        <v>0.5</v>
      </c>
      <c r="Q52" s="1">
        <f t="shared" si="4"/>
        <v>0.42105263157894735</v>
      </c>
      <c r="R52" s="1">
        <f t="shared" si="5"/>
        <v>0.17682926829268292</v>
      </c>
      <c r="S52" s="1">
        <f t="shared" si="6"/>
        <v>0.46875</v>
      </c>
      <c r="T52" s="1">
        <f t="shared" si="7"/>
        <v>2.9746778768831246</v>
      </c>
      <c r="V52" s="1">
        <f>Sheet2!AB52^2</f>
        <v>0.87761985085982797</v>
      </c>
      <c r="W52" s="1">
        <f>Sheet2!AC52^2</f>
        <v>3.9925123959295237E-3</v>
      </c>
      <c r="X52" s="1">
        <f t="shared" si="8"/>
        <v>61.433389560187955</v>
      </c>
      <c r="Y52" s="1">
        <f t="shared" si="9"/>
        <v>0.27947586771506666</v>
      </c>
      <c r="Z52" s="1">
        <f t="shared" si="10"/>
        <v>880.85909999999978</v>
      </c>
      <c r="AA52" s="1">
        <f t="shared" si="11"/>
        <v>521.58369999999968</v>
      </c>
      <c r="AB52" s="1">
        <f t="shared" si="12"/>
        <v>0.3719108544034736</v>
      </c>
      <c r="AC52" s="1">
        <f t="shared" si="13"/>
        <v>0.6280891455965264</v>
      </c>
      <c r="AD52" s="1">
        <f>ABS(AB52 - Sheet2!AB52)</f>
        <v>0.5649028148284756</v>
      </c>
      <c r="AF52" s="15">
        <f t="shared" si="14"/>
        <v>2</v>
      </c>
      <c r="AG52" s="15">
        <f t="shared" si="15"/>
        <v>1</v>
      </c>
    </row>
    <row r="53" spans="1:33" ht="27.6" x14ac:dyDescent="0.3">
      <c r="A53" s="2">
        <v>202209</v>
      </c>
      <c r="B53" s="6">
        <v>44822</v>
      </c>
      <c r="C53" s="3">
        <v>72</v>
      </c>
      <c r="D53" s="3">
        <v>113</v>
      </c>
      <c r="E53" s="3">
        <v>51</v>
      </c>
      <c r="F53" s="3">
        <v>21</v>
      </c>
      <c r="G53" s="3">
        <v>43</v>
      </c>
      <c r="H53" s="3">
        <v>33</v>
      </c>
      <c r="I53" s="3">
        <v>113</v>
      </c>
      <c r="J53" s="3" t="s">
        <v>19</v>
      </c>
      <c r="K53" s="3" t="s">
        <v>22</v>
      </c>
      <c r="L53" s="3" t="s">
        <v>21</v>
      </c>
      <c r="N53" s="1">
        <f t="shared" si="1"/>
        <v>0.77586206896551724</v>
      </c>
      <c r="O53" s="1">
        <f t="shared" si="2"/>
        <v>0.66666666666666663</v>
      </c>
      <c r="P53" s="1">
        <f t="shared" si="3"/>
        <v>0.5</v>
      </c>
      <c r="Q53" s="1">
        <f t="shared" si="4"/>
        <v>0.63157894736842102</v>
      </c>
      <c r="R53" s="1">
        <f t="shared" si="5"/>
        <v>0.15853658536585366</v>
      </c>
      <c r="S53" s="1">
        <f t="shared" si="6"/>
        <v>0.625</v>
      </c>
      <c r="T53" s="1">
        <f t="shared" si="7"/>
        <v>3.3576442683664589</v>
      </c>
      <c r="V53" s="1">
        <f>Sheet2!AB53^2</f>
        <v>0.89589339276435975</v>
      </c>
      <c r="W53" s="1">
        <f>Sheet2!AC53^2</f>
        <v>2.860489971215218E-3</v>
      </c>
      <c r="X53" s="1">
        <f t="shared" si="8"/>
        <v>64.504324279033909</v>
      </c>
      <c r="Y53" s="1">
        <f t="shared" si="9"/>
        <v>0.20595527792749568</v>
      </c>
      <c r="Z53" s="1">
        <f t="shared" si="10"/>
        <v>1064.0390999999997</v>
      </c>
      <c r="AA53" s="1">
        <f t="shared" si="11"/>
        <v>621.78369999999973</v>
      </c>
      <c r="AB53" s="1">
        <f t="shared" si="12"/>
        <v>0.36883099457428142</v>
      </c>
      <c r="AC53" s="1">
        <f t="shared" si="13"/>
        <v>0.63116900542571863</v>
      </c>
      <c r="AD53" s="1">
        <f>ABS(AB53 - Sheet2!AB53)</f>
        <v>0.57768545682229089</v>
      </c>
      <c r="AF53" s="15">
        <f t="shared" si="14"/>
        <v>2</v>
      </c>
      <c r="AG53" s="15">
        <f t="shared" si="15"/>
        <v>1</v>
      </c>
    </row>
    <row r="54" spans="1:33" ht="27.6" x14ac:dyDescent="0.3">
      <c r="A54" s="2">
        <v>202209</v>
      </c>
      <c r="B54" s="6">
        <v>44821</v>
      </c>
      <c r="C54" s="3">
        <v>70</v>
      </c>
      <c r="D54" s="3">
        <v>103</v>
      </c>
      <c r="E54" s="3">
        <v>51</v>
      </c>
      <c r="F54" s="3">
        <v>19</v>
      </c>
      <c r="G54" s="3">
        <v>49</v>
      </c>
      <c r="H54" s="3">
        <v>35</v>
      </c>
      <c r="I54" s="3">
        <v>103</v>
      </c>
      <c r="J54" s="3" t="s">
        <v>19</v>
      </c>
      <c r="K54" s="3" t="s">
        <v>22</v>
      </c>
      <c r="L54" s="3" t="s">
        <v>21</v>
      </c>
      <c r="N54" s="1">
        <f t="shared" si="1"/>
        <v>0.74137931034482762</v>
      </c>
      <c r="O54" s="1">
        <f t="shared" si="2"/>
        <v>0.5714285714285714</v>
      </c>
      <c r="P54" s="1">
        <f t="shared" si="3"/>
        <v>0.5</v>
      </c>
      <c r="Q54" s="1">
        <f t="shared" si="4"/>
        <v>0.52631578947368418</v>
      </c>
      <c r="R54" s="1">
        <f t="shared" si="5"/>
        <v>0.1951219512195122</v>
      </c>
      <c r="S54" s="1">
        <f t="shared" si="6"/>
        <v>0.6875</v>
      </c>
      <c r="T54" s="1">
        <f t="shared" si="7"/>
        <v>3.2217456224665955</v>
      </c>
      <c r="V54" s="1">
        <f>Sheet2!AB54^2</f>
        <v>0.94098359435392065</v>
      </c>
      <c r="W54" s="1">
        <f>Sheet2!AC54^2</f>
        <v>8.9741652168770459E-4</v>
      </c>
      <c r="X54" s="1">
        <f t="shared" si="8"/>
        <v>65.868851604774449</v>
      </c>
      <c r="Y54" s="1">
        <f t="shared" si="9"/>
        <v>6.2819156518139324E-2</v>
      </c>
      <c r="Z54" s="1">
        <f t="shared" si="10"/>
        <v>499.03909999999985</v>
      </c>
      <c r="AA54" s="1">
        <f t="shared" si="11"/>
        <v>241.26369999999986</v>
      </c>
      <c r="AB54" s="1">
        <f t="shared" si="12"/>
        <v>0.32589867281334067</v>
      </c>
      <c r="AC54" s="1">
        <f t="shared" si="13"/>
        <v>0.67410132718665938</v>
      </c>
      <c r="AD54" s="1">
        <f>ABS(AB54 - Sheet2!AB54)</f>
        <v>0.64414441610277584</v>
      </c>
      <c r="AF54" s="15">
        <f t="shared" si="14"/>
        <v>2</v>
      </c>
      <c r="AG54" s="15">
        <f t="shared" si="15"/>
        <v>1</v>
      </c>
    </row>
    <row r="55" spans="1:33" x14ac:dyDescent="0.3">
      <c r="A55" s="2">
        <v>202209</v>
      </c>
      <c r="B55" s="6">
        <v>44820</v>
      </c>
      <c r="C55" s="3">
        <v>62</v>
      </c>
      <c r="D55" s="3">
        <v>100</v>
      </c>
      <c r="E55" s="3">
        <v>51</v>
      </c>
      <c r="F55" s="3">
        <v>18</v>
      </c>
      <c r="G55" s="3">
        <v>52</v>
      </c>
      <c r="H55" s="3">
        <v>33</v>
      </c>
      <c r="I55" s="3">
        <v>100</v>
      </c>
      <c r="J55" s="3" t="s">
        <v>19</v>
      </c>
      <c r="K55" s="3" t="s">
        <v>20</v>
      </c>
      <c r="L55" s="3" t="s">
        <v>21</v>
      </c>
      <c r="N55" s="1">
        <f t="shared" si="1"/>
        <v>0.60344827586206895</v>
      </c>
      <c r="O55" s="1">
        <f t="shared" si="2"/>
        <v>0.54285714285714282</v>
      </c>
      <c r="P55" s="1">
        <f t="shared" si="3"/>
        <v>0.5</v>
      </c>
      <c r="Q55" s="1">
        <f t="shared" si="4"/>
        <v>0.47368421052631576</v>
      </c>
      <c r="R55" s="1">
        <f t="shared" si="5"/>
        <v>0.21341463414634146</v>
      </c>
      <c r="S55" s="1">
        <f t="shared" si="6"/>
        <v>0.625</v>
      </c>
      <c r="T55" s="1">
        <f t="shared" si="7"/>
        <v>2.958404263391869</v>
      </c>
      <c r="V55" s="1">
        <f>Sheet2!AB55^2</f>
        <v>0.97777937264448522</v>
      </c>
      <c r="W55" s="1">
        <f>Sheet2!AC55^2</f>
        <v>1.2482986459392726E-4</v>
      </c>
      <c r="X55" s="1">
        <f t="shared" si="8"/>
        <v>60.622321103958086</v>
      </c>
      <c r="Y55" s="1">
        <f t="shared" si="9"/>
        <v>7.7394516048234904E-3</v>
      </c>
      <c r="Z55" s="1">
        <f t="shared" si="10"/>
        <v>237.53909999999991</v>
      </c>
      <c r="AA55" s="1">
        <f t="shared" si="11"/>
        <v>74.623699999999914</v>
      </c>
      <c r="AB55" s="1">
        <f t="shared" si="12"/>
        <v>0.23905378860005089</v>
      </c>
      <c r="AC55" s="1">
        <f t="shared" si="13"/>
        <v>0.76094621139994911</v>
      </c>
      <c r="AD55" s="1">
        <f>ABS(AB55 - Sheet2!AB55)</f>
        <v>0.74977348278989475</v>
      </c>
      <c r="AF55" s="15">
        <f t="shared" si="14"/>
        <v>2</v>
      </c>
      <c r="AG55" s="15">
        <f t="shared" si="15"/>
        <v>0</v>
      </c>
    </row>
    <row r="56" spans="1:33" ht="27.6" x14ac:dyDescent="0.3">
      <c r="A56" s="2">
        <v>202209</v>
      </c>
      <c r="B56" s="6">
        <v>44819</v>
      </c>
      <c r="C56" s="3">
        <v>78</v>
      </c>
      <c r="D56" s="3">
        <v>117</v>
      </c>
      <c r="E56" s="3">
        <v>51</v>
      </c>
      <c r="F56" s="3">
        <v>26</v>
      </c>
      <c r="G56" s="3">
        <v>34</v>
      </c>
      <c r="H56" s="3">
        <v>39</v>
      </c>
      <c r="I56" s="3">
        <v>117</v>
      </c>
      <c r="J56" s="3" t="s">
        <v>19</v>
      </c>
      <c r="K56" s="3" t="s">
        <v>22</v>
      </c>
      <c r="L56" s="3" t="s">
        <v>21</v>
      </c>
      <c r="N56" s="1">
        <f t="shared" si="1"/>
        <v>0.87931034482758619</v>
      </c>
      <c r="O56" s="1">
        <f t="shared" si="2"/>
        <v>0.70476190476190481</v>
      </c>
      <c r="P56" s="1">
        <f t="shared" si="3"/>
        <v>0.5</v>
      </c>
      <c r="Q56" s="1">
        <f t="shared" si="4"/>
        <v>0.89473684210526316</v>
      </c>
      <c r="R56" s="1">
        <f t="shared" si="5"/>
        <v>0.10365853658536585</v>
      </c>
      <c r="S56" s="1">
        <f t="shared" si="6"/>
        <v>0.8125</v>
      </c>
      <c r="T56" s="1">
        <f t="shared" si="7"/>
        <v>3.8949676282801202</v>
      </c>
      <c r="V56" s="1">
        <f>Sheet2!AB56^2</f>
        <v>0.78791447049034147</v>
      </c>
      <c r="W56" s="1">
        <f>Sheet2!AC56^2</f>
        <v>1.2623541667303211E-2</v>
      </c>
      <c r="X56" s="1">
        <f t="shared" si="8"/>
        <v>61.457328698246634</v>
      </c>
      <c r="Y56" s="1">
        <f t="shared" si="9"/>
        <v>0.9846362500496505</v>
      </c>
      <c r="Z56" s="1">
        <f t="shared" si="10"/>
        <v>2024.6790999999998</v>
      </c>
      <c r="AA56" s="1">
        <f t="shared" si="11"/>
        <v>1327.8236999999997</v>
      </c>
      <c r="AB56" s="1">
        <f t="shared" si="12"/>
        <v>0.39606937837605977</v>
      </c>
      <c r="AC56" s="1">
        <f t="shared" si="13"/>
        <v>0.60393062162394018</v>
      </c>
      <c r="AD56" s="1">
        <f>ABS(AB56 - Sheet2!AB56)</f>
        <v>0.49157608603545938</v>
      </c>
      <c r="AF56" s="15">
        <f t="shared" si="14"/>
        <v>2</v>
      </c>
      <c r="AG56" s="15">
        <f t="shared" si="15"/>
        <v>1</v>
      </c>
    </row>
    <row r="57" spans="1:33" ht="27.6" x14ac:dyDescent="0.3">
      <c r="A57" s="2">
        <v>202209</v>
      </c>
      <c r="B57" s="6">
        <v>44818</v>
      </c>
      <c r="C57" s="3">
        <v>67</v>
      </c>
      <c r="D57" s="3">
        <v>113</v>
      </c>
      <c r="E57" s="3">
        <v>53</v>
      </c>
      <c r="F57" s="3">
        <v>18</v>
      </c>
      <c r="G57" s="3">
        <v>42</v>
      </c>
      <c r="H57" s="3">
        <v>38</v>
      </c>
      <c r="I57" s="3">
        <v>113</v>
      </c>
      <c r="J57" s="3" t="s">
        <v>19</v>
      </c>
      <c r="K57" s="3" t="s">
        <v>22</v>
      </c>
      <c r="L57" s="3" t="s">
        <v>21</v>
      </c>
      <c r="N57" s="1">
        <f t="shared" si="1"/>
        <v>0.68965517241379315</v>
      </c>
      <c r="O57" s="1">
        <f t="shared" si="2"/>
        <v>0.66666666666666663</v>
      </c>
      <c r="P57" s="1">
        <f t="shared" si="3"/>
        <v>0.66666666666666663</v>
      </c>
      <c r="Q57" s="1">
        <f t="shared" si="4"/>
        <v>0.47368421052631576</v>
      </c>
      <c r="R57" s="1">
        <f t="shared" si="5"/>
        <v>0.1524390243902439</v>
      </c>
      <c r="S57" s="1">
        <f t="shared" si="6"/>
        <v>0.78125</v>
      </c>
      <c r="T57" s="1">
        <f t="shared" si="7"/>
        <v>3.4303617406636859</v>
      </c>
      <c r="V57" s="1">
        <f>Sheet2!AB57^2</f>
        <v>0.8862382148699578</v>
      </c>
      <c r="W57" s="1">
        <f>Sheet2!AC57^2</f>
        <v>3.4336951494874052E-3</v>
      </c>
      <c r="X57" s="1">
        <f t="shared" si="8"/>
        <v>59.377960396287172</v>
      </c>
      <c r="Y57" s="1">
        <f t="shared" si="9"/>
        <v>0.23005757501565616</v>
      </c>
      <c r="Z57" s="1">
        <f t="shared" si="10"/>
        <v>1085.0790999999999</v>
      </c>
      <c r="AA57" s="1">
        <f t="shared" si="11"/>
        <v>614.36369999999965</v>
      </c>
      <c r="AB57" s="1">
        <f t="shared" si="12"/>
        <v>0.36150890162352023</v>
      </c>
      <c r="AC57" s="1">
        <f t="shared" si="13"/>
        <v>0.63849109837647977</v>
      </c>
      <c r="AD57" s="1">
        <f>ABS(AB57 - Sheet2!AB57)</f>
        <v>0.57989335823671495</v>
      </c>
      <c r="AF57" s="15">
        <f t="shared" si="14"/>
        <v>2</v>
      </c>
      <c r="AG57" s="15">
        <f t="shared" si="15"/>
        <v>1</v>
      </c>
    </row>
    <row r="58" spans="1:33" x14ac:dyDescent="0.3">
      <c r="A58" s="2">
        <v>202209</v>
      </c>
      <c r="B58" s="6">
        <v>44817</v>
      </c>
      <c r="C58" s="3">
        <v>59</v>
      </c>
      <c r="D58" s="3">
        <v>81</v>
      </c>
      <c r="E58" s="3">
        <v>52</v>
      </c>
      <c r="F58" s="3">
        <v>18</v>
      </c>
      <c r="G58" s="3">
        <v>45</v>
      </c>
      <c r="H58" s="3">
        <v>32</v>
      </c>
      <c r="I58" s="3">
        <v>81</v>
      </c>
      <c r="J58" s="3" t="s">
        <v>19</v>
      </c>
      <c r="K58" s="3" t="s">
        <v>20</v>
      </c>
      <c r="L58" s="3" t="s">
        <v>26</v>
      </c>
      <c r="N58" s="1">
        <f t="shared" si="1"/>
        <v>0.55172413793103448</v>
      </c>
      <c r="O58" s="1">
        <f t="shared" si="2"/>
        <v>0.3619047619047619</v>
      </c>
      <c r="P58" s="1">
        <f t="shared" si="3"/>
        <v>0.58333333333333337</v>
      </c>
      <c r="Q58" s="1">
        <f t="shared" si="4"/>
        <v>0.47368421052631576</v>
      </c>
      <c r="R58" s="1">
        <f t="shared" si="5"/>
        <v>0.17073170731707318</v>
      </c>
      <c r="S58" s="1">
        <f t="shared" si="6"/>
        <v>0.59375</v>
      </c>
      <c r="T58" s="1">
        <f t="shared" si="7"/>
        <v>2.7351281510125185</v>
      </c>
      <c r="V58" s="1">
        <f>Sheet2!AB58^2</f>
        <v>0.97721480831320917</v>
      </c>
      <c r="W58" s="1">
        <f>Sheet2!AC58^2</f>
        <v>1.3129129809918844E-4</v>
      </c>
      <c r="X58" s="1">
        <f t="shared" si="8"/>
        <v>57.65567369047934</v>
      </c>
      <c r="Y58" s="1">
        <f t="shared" si="9"/>
        <v>7.7461865878521181E-3</v>
      </c>
      <c r="Z58" s="1">
        <f t="shared" si="10"/>
        <v>495.11910000000012</v>
      </c>
      <c r="AA58" s="1">
        <f t="shared" si="11"/>
        <v>199.48370000000011</v>
      </c>
      <c r="AB58" s="1">
        <f t="shared" si="12"/>
        <v>0.2871910392529371</v>
      </c>
      <c r="AC58" s="1">
        <f t="shared" si="13"/>
        <v>0.7128089607470629</v>
      </c>
      <c r="AD58" s="1">
        <f>ABS(AB58 - Sheet2!AB58)</f>
        <v>0.70135071925461789</v>
      </c>
      <c r="AF58" s="15">
        <f t="shared" si="14"/>
        <v>2</v>
      </c>
      <c r="AG58" s="15">
        <f t="shared" si="15"/>
        <v>0</v>
      </c>
    </row>
    <row r="59" spans="1:33" x14ac:dyDescent="0.3">
      <c r="A59" s="2">
        <v>202209</v>
      </c>
      <c r="B59" s="6">
        <v>44816</v>
      </c>
      <c r="C59" s="3">
        <v>53</v>
      </c>
      <c r="D59" s="3">
        <v>79</v>
      </c>
      <c r="E59" s="3">
        <v>52</v>
      </c>
      <c r="F59" s="3">
        <v>18</v>
      </c>
      <c r="G59" s="3">
        <v>35</v>
      </c>
      <c r="H59" s="3">
        <v>27</v>
      </c>
      <c r="I59" s="3">
        <v>79</v>
      </c>
      <c r="J59" s="3" t="s">
        <v>19</v>
      </c>
      <c r="K59" s="3" t="s">
        <v>20</v>
      </c>
      <c r="L59" s="3" t="s">
        <v>21</v>
      </c>
      <c r="N59" s="1">
        <f t="shared" si="1"/>
        <v>0.44827586206896552</v>
      </c>
      <c r="O59" s="1">
        <f t="shared" si="2"/>
        <v>0.34285714285714286</v>
      </c>
      <c r="P59" s="1">
        <f t="shared" si="3"/>
        <v>0.58333333333333337</v>
      </c>
      <c r="Q59" s="1">
        <f t="shared" si="4"/>
        <v>0.47368421052631576</v>
      </c>
      <c r="R59" s="1">
        <f t="shared" si="5"/>
        <v>0.10975609756097561</v>
      </c>
      <c r="S59" s="1">
        <f t="shared" si="6"/>
        <v>0.4375</v>
      </c>
      <c r="T59" s="1">
        <f t="shared" si="7"/>
        <v>2.3954066463467329</v>
      </c>
      <c r="V59" s="1">
        <f>Sheet2!AB59^2</f>
        <v>0.88989404670200767</v>
      </c>
      <c r="W59" s="1">
        <f>Sheet2!AC59^2</f>
        <v>3.2101339047339705E-3</v>
      </c>
      <c r="X59" s="1">
        <f t="shared" si="8"/>
        <v>47.164384475206404</v>
      </c>
      <c r="Y59" s="1">
        <f t="shared" si="9"/>
        <v>0.17013709695090043</v>
      </c>
      <c r="Z59" s="1">
        <f t="shared" si="10"/>
        <v>1047.9791000000002</v>
      </c>
      <c r="AA59" s="1">
        <f t="shared" si="11"/>
        <v>504.04370000000011</v>
      </c>
      <c r="AB59" s="1">
        <f t="shared" si="12"/>
        <v>0.32476565421590453</v>
      </c>
      <c r="AC59" s="1">
        <f t="shared" si="13"/>
        <v>0.67523434578409547</v>
      </c>
      <c r="AD59" s="1">
        <f>ABS(AB59 - Sheet2!AB59)</f>
        <v>0.6185763021827323</v>
      </c>
      <c r="AF59" s="15">
        <f t="shared" si="14"/>
        <v>2</v>
      </c>
      <c r="AG59" s="15">
        <f t="shared" si="15"/>
        <v>0</v>
      </c>
    </row>
    <row r="60" spans="1:33" x14ac:dyDescent="0.3">
      <c r="A60" s="2">
        <v>202209</v>
      </c>
      <c r="B60" s="6">
        <v>44815</v>
      </c>
      <c r="C60" s="3">
        <v>64</v>
      </c>
      <c r="D60" s="3">
        <v>88</v>
      </c>
      <c r="E60" s="3">
        <v>51</v>
      </c>
      <c r="F60" s="3">
        <v>20</v>
      </c>
      <c r="G60" s="3">
        <v>37</v>
      </c>
      <c r="H60" s="3">
        <v>34</v>
      </c>
      <c r="I60" s="3">
        <v>88</v>
      </c>
      <c r="J60" s="3" t="s">
        <v>19</v>
      </c>
      <c r="K60" s="3" t="s">
        <v>20</v>
      </c>
      <c r="L60" s="3" t="s">
        <v>21</v>
      </c>
      <c r="N60" s="1">
        <f t="shared" si="1"/>
        <v>0.63793103448275867</v>
      </c>
      <c r="O60" s="1">
        <f t="shared" si="2"/>
        <v>0.42857142857142855</v>
      </c>
      <c r="P60" s="1">
        <f t="shared" si="3"/>
        <v>0.5</v>
      </c>
      <c r="Q60" s="1">
        <f t="shared" si="4"/>
        <v>0.57894736842105265</v>
      </c>
      <c r="R60" s="1">
        <f t="shared" si="5"/>
        <v>0.12195121951219512</v>
      </c>
      <c r="S60" s="1">
        <f t="shared" si="6"/>
        <v>0.65625</v>
      </c>
      <c r="T60" s="1">
        <f t="shared" si="7"/>
        <v>2.9236510509874352</v>
      </c>
      <c r="V60" s="1">
        <f>Sheet2!AB60^2</f>
        <v>0.97970237619802469</v>
      </c>
      <c r="W60" s="1">
        <f>Sheet2!AC60^2</f>
        <v>1.0405714637961711E-4</v>
      </c>
      <c r="X60" s="1">
        <f t="shared" si="8"/>
        <v>62.70095207667358</v>
      </c>
      <c r="Y60" s="1">
        <f t="shared" si="9"/>
        <v>6.659657368295495E-3</v>
      </c>
      <c r="Z60" s="1">
        <f t="shared" si="10"/>
        <v>783.91909999999996</v>
      </c>
      <c r="AA60" s="1">
        <f t="shared" si="11"/>
        <v>257.94369999999998</v>
      </c>
      <c r="AB60" s="1">
        <f t="shared" si="12"/>
        <v>0.24757933578202426</v>
      </c>
      <c r="AC60" s="1">
        <f t="shared" si="13"/>
        <v>0.75242066421797571</v>
      </c>
      <c r="AD60" s="1">
        <f>ABS(AB60 - Sheet2!AB60)</f>
        <v>0.74221982374379825</v>
      </c>
      <c r="AF60" s="15">
        <f t="shared" si="14"/>
        <v>2</v>
      </c>
      <c r="AG60" s="15">
        <f t="shared" si="15"/>
        <v>0</v>
      </c>
    </row>
    <row r="61" spans="1:33" x14ac:dyDescent="0.3">
      <c r="A61" s="2">
        <v>202209</v>
      </c>
      <c r="B61" s="6">
        <v>44814</v>
      </c>
      <c r="C61" s="3">
        <v>56</v>
      </c>
      <c r="D61" s="3">
        <v>72</v>
      </c>
      <c r="E61" s="3">
        <v>48</v>
      </c>
      <c r="F61" s="3">
        <v>22</v>
      </c>
      <c r="G61" s="3">
        <v>41</v>
      </c>
      <c r="H61" s="3">
        <v>39</v>
      </c>
      <c r="I61" s="3">
        <v>72</v>
      </c>
      <c r="J61" s="3" t="s">
        <v>19</v>
      </c>
      <c r="K61" s="3" t="s">
        <v>20</v>
      </c>
      <c r="L61" s="3" t="s">
        <v>21</v>
      </c>
      <c r="N61" s="1">
        <f t="shared" si="1"/>
        <v>0.5</v>
      </c>
      <c r="O61" s="1">
        <f t="shared" si="2"/>
        <v>0.27619047619047621</v>
      </c>
      <c r="P61" s="1">
        <f t="shared" si="3"/>
        <v>0.25</v>
      </c>
      <c r="Q61" s="1">
        <f t="shared" si="4"/>
        <v>0.68421052631578949</v>
      </c>
      <c r="R61" s="1">
        <f t="shared" si="5"/>
        <v>0.14634146341463414</v>
      </c>
      <c r="S61" s="1">
        <f t="shared" si="6"/>
        <v>0.8125</v>
      </c>
      <c r="T61" s="1">
        <f t="shared" si="7"/>
        <v>2.6692424659208998</v>
      </c>
      <c r="V61" s="1">
        <f>Sheet2!AB61^2</f>
        <v>0.82256064307546395</v>
      </c>
      <c r="W61" s="1">
        <f>Sheet2!AC61^2</f>
        <v>8.658062366716025E-3</v>
      </c>
      <c r="X61" s="1">
        <f t="shared" si="8"/>
        <v>46.063396012225979</v>
      </c>
      <c r="Y61" s="1">
        <f t="shared" si="9"/>
        <v>0.48485149253609738</v>
      </c>
      <c r="Z61" s="1">
        <f t="shared" si="10"/>
        <v>1033.9391000000003</v>
      </c>
      <c r="AA61" s="1">
        <f t="shared" si="11"/>
        <v>668.50370000000021</v>
      </c>
      <c r="AB61" s="1">
        <f t="shared" si="12"/>
        <v>0.3926732222662635</v>
      </c>
      <c r="AC61" s="1">
        <f t="shared" si="13"/>
        <v>0.60732677773373656</v>
      </c>
      <c r="AD61" s="1">
        <f>ABS(AB61 - Sheet2!AB61)</f>
        <v>0.5142780680881105</v>
      </c>
      <c r="AF61" s="15">
        <f t="shared" si="14"/>
        <v>2</v>
      </c>
      <c r="AG61" s="15">
        <f t="shared" si="15"/>
        <v>0</v>
      </c>
    </row>
    <row r="62" spans="1:33" x14ac:dyDescent="0.3">
      <c r="A62" s="2">
        <v>202209</v>
      </c>
      <c r="B62" s="6">
        <v>44813</v>
      </c>
      <c r="C62" s="3">
        <v>71</v>
      </c>
      <c r="D62" s="3">
        <v>91</v>
      </c>
      <c r="E62" s="3">
        <v>49</v>
      </c>
      <c r="F62" s="3">
        <v>28</v>
      </c>
      <c r="G62" s="3">
        <v>32</v>
      </c>
      <c r="H62" s="3">
        <v>43</v>
      </c>
      <c r="I62" s="3">
        <v>91</v>
      </c>
      <c r="J62" s="3" t="s">
        <v>19</v>
      </c>
      <c r="K62" s="3" t="s">
        <v>20</v>
      </c>
      <c r="L62" s="3" t="s">
        <v>24</v>
      </c>
      <c r="N62" s="1">
        <f t="shared" si="1"/>
        <v>0.75862068965517238</v>
      </c>
      <c r="O62" s="1">
        <f t="shared" si="2"/>
        <v>0.45714285714285713</v>
      </c>
      <c r="P62" s="1">
        <f t="shared" si="3"/>
        <v>0.33333333333333331</v>
      </c>
      <c r="Q62" s="1">
        <f t="shared" si="4"/>
        <v>1</v>
      </c>
      <c r="R62" s="1">
        <f t="shared" si="5"/>
        <v>9.1463414634146339E-2</v>
      </c>
      <c r="S62" s="1">
        <f t="shared" si="6"/>
        <v>0.9375</v>
      </c>
      <c r="T62" s="1">
        <f t="shared" si="7"/>
        <v>3.5780602947655091</v>
      </c>
      <c r="V62" s="1">
        <f>Sheet2!AB62^2</f>
        <v>0.75191247728204635</v>
      </c>
      <c r="W62" s="1">
        <f>Sheet2!AC62^2</f>
        <v>1.7654737172985917E-2</v>
      </c>
      <c r="X62" s="1">
        <f t="shared" si="8"/>
        <v>53.385785887025293</v>
      </c>
      <c r="Y62" s="1">
        <f t="shared" si="9"/>
        <v>1.2534863392820002</v>
      </c>
      <c r="Z62" s="1">
        <f t="shared" si="10"/>
        <v>1427.6190999999999</v>
      </c>
      <c r="AA62" s="1">
        <f t="shared" si="11"/>
        <v>757.28369999999995</v>
      </c>
      <c r="AB62" s="1">
        <f t="shared" si="12"/>
        <v>0.34659834753289709</v>
      </c>
      <c r="AC62" s="1">
        <f t="shared" si="13"/>
        <v>0.65340165246710291</v>
      </c>
      <c r="AD62" s="1">
        <f>ABS(AB62 - Sheet2!AB62)</f>
        <v>0.52053052252163312</v>
      </c>
      <c r="AF62" s="15">
        <f t="shared" si="14"/>
        <v>2</v>
      </c>
      <c r="AG62" s="15">
        <f t="shared" si="15"/>
        <v>0</v>
      </c>
    </row>
    <row r="63" spans="1:33" x14ac:dyDescent="0.3">
      <c r="A63" s="2">
        <v>202209</v>
      </c>
      <c r="B63" s="6">
        <v>44812</v>
      </c>
      <c r="C63" s="3">
        <v>61</v>
      </c>
      <c r="D63" s="3">
        <v>87</v>
      </c>
      <c r="E63" s="3">
        <v>48</v>
      </c>
      <c r="F63" s="3">
        <v>26</v>
      </c>
      <c r="G63" s="3">
        <v>32</v>
      </c>
      <c r="H63" s="3">
        <v>45</v>
      </c>
      <c r="I63" s="3">
        <v>87</v>
      </c>
      <c r="J63" s="3" t="s">
        <v>19</v>
      </c>
      <c r="K63" s="3" t="s">
        <v>20</v>
      </c>
      <c r="L63" s="3" t="s">
        <v>21</v>
      </c>
      <c r="N63" s="1">
        <f t="shared" si="1"/>
        <v>0.58620689655172409</v>
      </c>
      <c r="O63" s="1">
        <f t="shared" si="2"/>
        <v>0.41904761904761906</v>
      </c>
      <c r="P63" s="1">
        <f t="shared" si="3"/>
        <v>0.25</v>
      </c>
      <c r="Q63" s="1">
        <f t="shared" si="4"/>
        <v>0.89473684210526316</v>
      </c>
      <c r="R63" s="1">
        <f t="shared" si="5"/>
        <v>9.1463414634146339E-2</v>
      </c>
      <c r="S63" s="1">
        <f t="shared" si="6"/>
        <v>1</v>
      </c>
      <c r="T63" s="1">
        <f t="shared" si="7"/>
        <v>3.2414547723387526</v>
      </c>
      <c r="V63" s="1">
        <f>Sheet2!AB63^2</f>
        <v>0.74906885421550051</v>
      </c>
      <c r="W63" s="1">
        <f>Sheet2!AC63^2</f>
        <v>1.8093575113571212E-2</v>
      </c>
      <c r="X63" s="1">
        <f t="shared" si="8"/>
        <v>45.693200107145529</v>
      </c>
      <c r="Y63" s="1">
        <f t="shared" si="9"/>
        <v>1.103708081927844</v>
      </c>
      <c r="Z63" s="1">
        <f t="shared" si="10"/>
        <v>1344.0191</v>
      </c>
      <c r="AA63" s="1">
        <f t="shared" si="11"/>
        <v>696.32369999999992</v>
      </c>
      <c r="AB63" s="1">
        <f t="shared" si="12"/>
        <v>0.3412777990051476</v>
      </c>
      <c r="AC63" s="1">
        <f t="shared" si="13"/>
        <v>0.65872220099485235</v>
      </c>
      <c r="AD63" s="1">
        <f>ABS(AB63 - Sheet2!AB63)</f>
        <v>0.5242098405458171</v>
      </c>
      <c r="AF63" s="15">
        <f t="shared" si="14"/>
        <v>2</v>
      </c>
      <c r="AG63" s="15">
        <f t="shared" si="15"/>
        <v>0</v>
      </c>
    </row>
    <row r="64" spans="1:33" x14ac:dyDescent="0.3">
      <c r="A64" s="2">
        <v>202209</v>
      </c>
      <c r="B64" s="6">
        <v>44811</v>
      </c>
      <c r="C64" s="3">
        <v>55</v>
      </c>
      <c r="D64" s="3">
        <v>79</v>
      </c>
      <c r="E64" s="3">
        <v>49</v>
      </c>
      <c r="F64" s="3">
        <v>15</v>
      </c>
      <c r="G64" s="3">
        <v>38</v>
      </c>
      <c r="H64" s="3">
        <v>21</v>
      </c>
      <c r="I64" s="3">
        <v>79</v>
      </c>
      <c r="J64" s="3" t="s">
        <v>19</v>
      </c>
      <c r="K64" s="3" t="s">
        <v>20</v>
      </c>
      <c r="L64" s="3" t="s">
        <v>21</v>
      </c>
      <c r="N64" s="1">
        <f t="shared" si="1"/>
        <v>0.48275862068965519</v>
      </c>
      <c r="O64" s="1">
        <f t="shared" si="2"/>
        <v>0.34285714285714286</v>
      </c>
      <c r="P64" s="1">
        <f t="shared" si="3"/>
        <v>0.33333333333333331</v>
      </c>
      <c r="Q64" s="1">
        <f t="shared" si="4"/>
        <v>0.31578947368421051</v>
      </c>
      <c r="R64" s="1">
        <f t="shared" si="5"/>
        <v>0.12804878048780488</v>
      </c>
      <c r="S64" s="1">
        <f t="shared" si="6"/>
        <v>0.25</v>
      </c>
      <c r="T64" s="1">
        <f t="shared" si="7"/>
        <v>1.8527873510521466</v>
      </c>
      <c r="V64" s="1">
        <f>Sheet2!AB64^2</f>
        <v>0.58306664164087518</v>
      </c>
      <c r="W64" s="1">
        <f>Sheet2!AC64^2</f>
        <v>5.5890631299074157E-2</v>
      </c>
      <c r="X64" s="1">
        <f t="shared" si="8"/>
        <v>32.068665290248134</v>
      </c>
      <c r="Y64" s="1">
        <f t="shared" si="9"/>
        <v>3.0739847214490785</v>
      </c>
      <c r="Z64" s="1">
        <f t="shared" si="10"/>
        <v>912.37909999999999</v>
      </c>
      <c r="AA64" s="1">
        <f t="shared" si="11"/>
        <v>456.52370000000013</v>
      </c>
      <c r="AB64" s="1">
        <f t="shared" si="12"/>
        <v>0.33349606706918866</v>
      </c>
      <c r="AC64" s="1">
        <f t="shared" si="13"/>
        <v>0.66650393293081134</v>
      </c>
      <c r="AD64" s="1">
        <f>ABS(AB64 - Sheet2!AB64)</f>
        <v>0.43009193810171187</v>
      </c>
      <c r="AF64" s="15">
        <f t="shared" si="14"/>
        <v>2</v>
      </c>
      <c r="AG64" s="15">
        <f t="shared" si="15"/>
        <v>0</v>
      </c>
    </row>
    <row r="65" spans="1:33" x14ac:dyDescent="0.3">
      <c r="A65" s="2">
        <v>202209</v>
      </c>
      <c r="B65" s="6">
        <v>44810</v>
      </c>
      <c r="C65" s="3">
        <v>63</v>
      </c>
      <c r="D65" s="3">
        <v>86</v>
      </c>
      <c r="E65" s="3">
        <v>51</v>
      </c>
      <c r="F65" s="3">
        <v>12</v>
      </c>
      <c r="G65" s="3">
        <v>43</v>
      </c>
      <c r="H65" s="3">
        <v>17</v>
      </c>
      <c r="I65" s="3">
        <v>86</v>
      </c>
      <c r="J65" s="3" t="s">
        <v>19</v>
      </c>
      <c r="K65" s="3" t="s">
        <v>20</v>
      </c>
      <c r="L65" s="3" t="s">
        <v>21</v>
      </c>
      <c r="N65" s="1">
        <f t="shared" si="1"/>
        <v>0.62068965517241381</v>
      </c>
      <c r="O65" s="1">
        <f t="shared" si="2"/>
        <v>0.40952380952380951</v>
      </c>
      <c r="P65" s="1">
        <f t="shared" si="3"/>
        <v>0.5</v>
      </c>
      <c r="Q65" s="1">
        <f t="shared" si="4"/>
        <v>0.15789473684210525</v>
      </c>
      <c r="R65" s="1">
        <f t="shared" si="5"/>
        <v>0.15853658536585366</v>
      </c>
      <c r="S65" s="1">
        <f t="shared" si="6"/>
        <v>0.125</v>
      </c>
      <c r="T65" s="1">
        <f t="shared" si="7"/>
        <v>1.9716447869041822</v>
      </c>
      <c r="V65" s="1">
        <f>Sheet2!AB65^2</f>
        <v>0.50685145066144655</v>
      </c>
      <c r="W65" s="1">
        <f>Sheet2!AC65^2</f>
        <v>8.2981441620668214E-2</v>
      </c>
      <c r="X65" s="1">
        <f t="shared" si="8"/>
        <v>31.931641391671132</v>
      </c>
      <c r="Y65" s="1">
        <f t="shared" si="9"/>
        <v>5.2278308221020975</v>
      </c>
      <c r="Z65" s="1">
        <f t="shared" si="10"/>
        <v>660.87910000000011</v>
      </c>
      <c r="AA65" s="1">
        <f t="shared" si="11"/>
        <v>305.88370000000009</v>
      </c>
      <c r="AB65" s="1">
        <f t="shared" si="12"/>
        <v>0.31639994836375585</v>
      </c>
      <c r="AC65" s="1">
        <f t="shared" si="13"/>
        <v>0.68360005163624415</v>
      </c>
      <c r="AD65" s="1">
        <f>ABS(AB65 - Sheet2!AB65)</f>
        <v>0.39553505615663331</v>
      </c>
      <c r="AF65" s="15">
        <f t="shared" si="14"/>
        <v>2</v>
      </c>
      <c r="AG65" s="15">
        <f t="shared" si="15"/>
        <v>0</v>
      </c>
    </row>
    <row r="66" spans="1:33" ht="27.6" x14ac:dyDescent="0.3">
      <c r="A66" s="2">
        <v>202209</v>
      </c>
      <c r="B66" s="6">
        <v>44809</v>
      </c>
      <c r="C66" s="3">
        <v>59</v>
      </c>
      <c r="D66" s="3">
        <v>105</v>
      </c>
      <c r="E66" s="3">
        <v>51</v>
      </c>
      <c r="F66" s="3">
        <v>15</v>
      </c>
      <c r="G66" s="3">
        <v>45</v>
      </c>
      <c r="H66" s="3">
        <v>23</v>
      </c>
      <c r="I66" s="3">
        <v>105</v>
      </c>
      <c r="J66" s="3" t="s">
        <v>19</v>
      </c>
      <c r="K66" s="3" t="s">
        <v>22</v>
      </c>
      <c r="L66" s="3" t="s">
        <v>21</v>
      </c>
      <c r="N66" s="1">
        <f t="shared" si="1"/>
        <v>0.55172413793103448</v>
      </c>
      <c r="O66" s="1">
        <f t="shared" si="2"/>
        <v>0.59047619047619049</v>
      </c>
      <c r="P66" s="1">
        <f t="shared" si="3"/>
        <v>0.5</v>
      </c>
      <c r="Q66" s="1">
        <f t="shared" si="4"/>
        <v>0.31578947368421051</v>
      </c>
      <c r="R66" s="1">
        <f t="shared" si="5"/>
        <v>0.17073170731707318</v>
      </c>
      <c r="S66" s="1">
        <f t="shared" si="6"/>
        <v>0.3125</v>
      </c>
      <c r="T66" s="1">
        <f t="shared" si="7"/>
        <v>2.4412215094085088</v>
      </c>
      <c r="V66" s="1">
        <f>Sheet2!AB66^2</f>
        <v>0.78274321328196472</v>
      </c>
      <c r="W66" s="1">
        <f>Sheet2!AC66^2</f>
        <v>1.3287688797707189E-2</v>
      </c>
      <c r="X66" s="1">
        <f t="shared" si="8"/>
        <v>46.181849583635916</v>
      </c>
      <c r="Y66" s="1">
        <f t="shared" si="9"/>
        <v>0.78397363906472417</v>
      </c>
      <c r="Z66" s="1">
        <f t="shared" si="10"/>
        <v>574.53909999999985</v>
      </c>
      <c r="AA66" s="1">
        <f t="shared" si="11"/>
        <v>222.96369999999979</v>
      </c>
      <c r="AB66" s="1">
        <f t="shared" si="12"/>
        <v>0.27957732562192872</v>
      </c>
      <c r="AC66" s="1">
        <f t="shared" si="13"/>
        <v>0.72042267437807128</v>
      </c>
      <c r="AD66" s="1">
        <f>ABS(AB66 - Sheet2!AB66)</f>
        <v>0.60515043662020007</v>
      </c>
      <c r="AF66" s="15">
        <f t="shared" si="14"/>
        <v>2</v>
      </c>
      <c r="AG66" s="15">
        <f t="shared" si="15"/>
        <v>1</v>
      </c>
    </row>
    <row r="67" spans="1:33" x14ac:dyDescent="0.3">
      <c r="A67" s="2">
        <v>202209</v>
      </c>
      <c r="B67" s="6">
        <v>44808</v>
      </c>
      <c r="C67" s="3">
        <v>42</v>
      </c>
      <c r="D67" s="3">
        <v>76</v>
      </c>
      <c r="E67" s="3">
        <v>50</v>
      </c>
      <c r="F67" s="3">
        <v>9</v>
      </c>
      <c r="G67" s="3">
        <v>33</v>
      </c>
      <c r="H67" s="3">
        <v>14</v>
      </c>
      <c r="I67" s="3">
        <v>76</v>
      </c>
      <c r="J67" s="3" t="s">
        <v>19</v>
      </c>
      <c r="K67" s="3" t="s">
        <v>20</v>
      </c>
      <c r="L67" s="3" t="s">
        <v>21</v>
      </c>
      <c r="N67" s="1">
        <f t="shared" ref="N67:N98" si="16">(C67-MIN(C$2:C$99))/(MAX(C$2:C$99)-MIN(C$2:C$99))</f>
        <v>0.25862068965517243</v>
      </c>
      <c r="O67" s="1">
        <f t="shared" ref="O67:O98" si="17">(D67-MIN(D$2:D$99))/(MAX(D$2:D$99)-MIN(D$2:D$99))</f>
        <v>0.31428571428571428</v>
      </c>
      <c r="P67" s="1">
        <f t="shared" ref="P67:P97" si="18">(E67-MIN(E$2:E$99))/(MAX(E$2:E$99)-MIN(E$2:E$99))</f>
        <v>0.41666666666666669</v>
      </c>
      <c r="Q67" s="1">
        <f t="shared" ref="Q67:Q98" si="19">(F67-MIN(F$2:F$99))/(MAX(F$2:F$99)-MIN(F$2:F$99))</f>
        <v>0</v>
      </c>
      <c r="R67" s="1">
        <f t="shared" ref="R67:R98" si="20">(G67-MIN(G$2:G$99))/(MAX(G$2:G$99)-MIN(G$2:G$99))</f>
        <v>9.7560975609756101E-2</v>
      </c>
      <c r="S67" s="1">
        <f t="shared" ref="S67:S98" si="21">(H67-MIN(H$2:H$99))/(MAX(H$2:H$99)-MIN(H$2:H$99))</f>
        <v>3.125E-2</v>
      </c>
      <c r="T67" s="1">
        <f t="shared" ref="T67:T98" si="22">SUM(N67:S67)</f>
        <v>1.1183840462173096</v>
      </c>
      <c r="V67" s="1">
        <f>Sheet2!AB67^2</f>
        <v>0.11161059610492116</v>
      </c>
      <c r="W67" s="1">
        <f>Sheet2!AC67^2</f>
        <v>0.44344715470776963</v>
      </c>
      <c r="X67" s="1">
        <f t="shared" ref="X67:X98" si="23">V67 * C67</f>
        <v>4.6876450364066891</v>
      </c>
      <c r="Y67" s="1">
        <f t="shared" ref="Y67:Y98" si="24">W67 * C67</f>
        <v>18.624780497726324</v>
      </c>
      <c r="Z67" s="1">
        <f t="shared" ref="Z67:Z98" si="25">(C67-59.49)^2+(D67-91.87)^2+(E67-47.26)^2+(F67-18.3)^2+(G67-63.54)^2+(H67-28.77)^2</f>
        <v>1802.5991000000004</v>
      </c>
      <c r="AA67" s="1">
        <f t="shared" ref="AA67:AA98" si="26">(C67-59.97)^2+(D67-93.18)^2+(E67-48.72)^2+(F67-18.4)^2+(G67-50.48)^2+(H67-28.96)^2</f>
        <v>1237.4237000000003</v>
      </c>
      <c r="AB67" s="1">
        <f t="shared" ref="AB67:AB98" si="27">IF(Z67=0,1,IF(AA67=0,0,(1/Z67)/((1/Z67)+(1/AA67))))</f>
        <v>0.40704421690521525</v>
      </c>
      <c r="AC67" s="1">
        <f t="shared" ref="AC67:AC98" si="28">1-AB67</f>
        <v>0.59295578309478469</v>
      </c>
      <c r="AD67" s="1">
        <f>ABS(AB67 - Sheet2!AB67)</f>
        <v>7.2962496206639527E-2</v>
      </c>
      <c r="AF67" s="15">
        <f t="shared" ref="AF67:AF99" si="29">IF(AB67 &gt; AC67, 1, 2)</f>
        <v>2</v>
      </c>
      <c r="AG67" s="15">
        <f t="shared" ref="AG67:AG99" si="30">IF(OR(AND(AF67=1, K67="SEDANG"), AND(AF67=2, K67="TIDAK SEHAT")), 1, 0)</f>
        <v>0</v>
      </c>
    </row>
    <row r="68" spans="1:33" ht="27.6" x14ac:dyDescent="0.3">
      <c r="A68" s="2">
        <v>202209</v>
      </c>
      <c r="B68" s="6">
        <v>44807</v>
      </c>
      <c r="C68" s="3">
        <v>64</v>
      </c>
      <c r="D68" s="3">
        <v>102</v>
      </c>
      <c r="E68" s="3">
        <v>50</v>
      </c>
      <c r="F68" s="3">
        <v>18</v>
      </c>
      <c r="G68" s="3">
        <v>37</v>
      </c>
      <c r="H68" s="3">
        <v>31</v>
      </c>
      <c r="I68" s="3">
        <v>102</v>
      </c>
      <c r="J68" s="3" t="s">
        <v>19</v>
      </c>
      <c r="K68" s="3" t="s">
        <v>22</v>
      </c>
      <c r="L68" s="3" t="s">
        <v>21</v>
      </c>
      <c r="N68" s="1">
        <f t="shared" si="16"/>
        <v>0.63793103448275867</v>
      </c>
      <c r="O68" s="1">
        <f t="shared" si="17"/>
        <v>0.56190476190476191</v>
      </c>
      <c r="P68" s="1">
        <f t="shared" si="18"/>
        <v>0.41666666666666669</v>
      </c>
      <c r="Q68" s="1">
        <f t="shared" si="19"/>
        <v>0.47368421052631576</v>
      </c>
      <c r="R68" s="1">
        <f t="shared" si="20"/>
        <v>0.12195121951219512</v>
      </c>
      <c r="S68" s="1">
        <f t="shared" si="21"/>
        <v>0.5625</v>
      </c>
      <c r="T68" s="1">
        <f t="shared" si="22"/>
        <v>2.7746378930926983</v>
      </c>
      <c r="V68" s="1">
        <f>Sheet2!AB68^2</f>
        <v>0.95737833077208057</v>
      </c>
      <c r="W68" s="1">
        <f>Sheet2!AC68^2</f>
        <v>4.6409578672427316E-4</v>
      </c>
      <c r="X68" s="1">
        <f t="shared" si="23"/>
        <v>61.272213169413156</v>
      </c>
      <c r="Y68" s="1">
        <f t="shared" si="24"/>
        <v>2.9702130350353483E-2</v>
      </c>
      <c r="Z68" s="1">
        <f t="shared" si="25"/>
        <v>839.89909999999986</v>
      </c>
      <c r="AA68" s="1">
        <f t="shared" si="26"/>
        <v>281.7036999999998</v>
      </c>
      <c r="AB68" s="1">
        <f t="shared" si="27"/>
        <v>0.25116173033804823</v>
      </c>
      <c r="AC68" s="1">
        <f t="shared" si="28"/>
        <v>0.74883826966195177</v>
      </c>
      <c r="AD68" s="1">
        <f>ABS(AB68 - Sheet2!AB68)</f>
        <v>0.72729538715462994</v>
      </c>
      <c r="AF68" s="15">
        <f t="shared" si="29"/>
        <v>2</v>
      </c>
      <c r="AG68" s="15">
        <f t="shared" si="30"/>
        <v>1</v>
      </c>
    </row>
    <row r="69" spans="1:33" ht="27.6" x14ac:dyDescent="0.3">
      <c r="A69" s="2">
        <v>202209</v>
      </c>
      <c r="B69" s="6">
        <v>44806</v>
      </c>
      <c r="C69" s="3">
        <v>71</v>
      </c>
      <c r="D69" s="3">
        <v>108</v>
      </c>
      <c r="E69" s="3">
        <v>51</v>
      </c>
      <c r="F69" s="3">
        <v>21</v>
      </c>
      <c r="G69" s="3">
        <v>35</v>
      </c>
      <c r="H69" s="3">
        <v>32</v>
      </c>
      <c r="I69" s="3">
        <v>108</v>
      </c>
      <c r="J69" s="3" t="s">
        <v>19</v>
      </c>
      <c r="K69" s="3" t="s">
        <v>22</v>
      </c>
      <c r="L69" s="3" t="s">
        <v>21</v>
      </c>
      <c r="N69" s="1">
        <f t="shared" si="16"/>
        <v>0.75862068965517238</v>
      </c>
      <c r="O69" s="1">
        <f t="shared" si="17"/>
        <v>0.61904761904761907</v>
      </c>
      <c r="P69" s="1">
        <f t="shared" si="18"/>
        <v>0.5</v>
      </c>
      <c r="Q69" s="1">
        <f t="shared" si="19"/>
        <v>0.63157894736842102</v>
      </c>
      <c r="R69" s="1">
        <f t="shared" si="20"/>
        <v>0.10975609756097561</v>
      </c>
      <c r="S69" s="1">
        <f t="shared" si="21"/>
        <v>0.59375</v>
      </c>
      <c r="T69" s="1">
        <f t="shared" si="22"/>
        <v>3.2127533536321882</v>
      </c>
      <c r="V69" s="1">
        <f>Sheet2!AB69^2</f>
        <v>0.90990731036442307</v>
      </c>
      <c r="W69" s="1">
        <f>Sheet2!AC69^2</f>
        <v>2.1260751443855077E-3</v>
      </c>
      <c r="X69" s="1">
        <f t="shared" si="23"/>
        <v>64.60341903587404</v>
      </c>
      <c r="Y69" s="1">
        <f t="shared" si="24"/>
        <v>0.15095133525137105</v>
      </c>
      <c r="Z69" s="1">
        <f t="shared" si="25"/>
        <v>1238.8990999999999</v>
      </c>
      <c r="AA69" s="1">
        <f t="shared" si="26"/>
        <v>602.12369999999964</v>
      </c>
      <c r="AB69" s="1">
        <f t="shared" si="27"/>
        <v>0.32705933897179318</v>
      </c>
      <c r="AC69" s="1">
        <f t="shared" si="28"/>
        <v>0.67294066102820682</v>
      </c>
      <c r="AD69" s="1">
        <f>ABS(AB69 - Sheet2!AB69)</f>
        <v>0.62683127863822563</v>
      </c>
      <c r="AF69" s="15">
        <f t="shared" si="29"/>
        <v>2</v>
      </c>
      <c r="AG69" s="15">
        <f t="shared" si="30"/>
        <v>1</v>
      </c>
    </row>
    <row r="70" spans="1:33" x14ac:dyDescent="0.3">
      <c r="A70" s="2">
        <v>202210</v>
      </c>
      <c r="B70" s="6">
        <v>44860</v>
      </c>
      <c r="C70" s="3">
        <v>39</v>
      </c>
      <c r="D70" s="3">
        <v>43</v>
      </c>
      <c r="E70" s="3">
        <v>51</v>
      </c>
      <c r="F70" s="3">
        <v>11</v>
      </c>
      <c r="G70" s="3">
        <v>27</v>
      </c>
      <c r="H70" s="3">
        <v>17</v>
      </c>
      <c r="I70" s="3">
        <v>51</v>
      </c>
      <c r="J70" s="3" t="s">
        <v>27</v>
      </c>
      <c r="K70" s="3" t="s">
        <v>20</v>
      </c>
      <c r="L70" s="3" t="s">
        <v>21</v>
      </c>
      <c r="N70" s="1">
        <f t="shared" si="16"/>
        <v>0.20689655172413793</v>
      </c>
      <c r="O70" s="1">
        <f t="shared" si="17"/>
        <v>0</v>
      </c>
      <c r="P70" s="1">
        <f t="shared" si="18"/>
        <v>0.5</v>
      </c>
      <c r="Q70" s="1">
        <f t="shared" si="19"/>
        <v>0.10526315789473684</v>
      </c>
      <c r="R70" s="1">
        <f t="shared" si="20"/>
        <v>6.097560975609756E-2</v>
      </c>
      <c r="S70" s="1">
        <f t="shared" si="21"/>
        <v>0.125</v>
      </c>
      <c r="T70" s="1">
        <f t="shared" si="22"/>
        <v>0.99813531937497224</v>
      </c>
      <c r="V70" s="1">
        <f>Sheet2!AB70^2</f>
        <v>9.7507000577914102E-2</v>
      </c>
      <c r="W70" s="1">
        <f>Sheet2!AC70^2</f>
        <v>0.47298478134816041</v>
      </c>
      <c r="X70" s="1">
        <f t="shared" si="23"/>
        <v>3.8027730225386498</v>
      </c>
      <c r="Y70" s="1">
        <f t="shared" si="24"/>
        <v>18.446406472578257</v>
      </c>
      <c r="Z70" s="1">
        <f t="shared" si="25"/>
        <v>4349.0991000000004</v>
      </c>
      <c r="AA70" s="1">
        <f t="shared" si="26"/>
        <v>3712.0837000000001</v>
      </c>
      <c r="AB70" s="1">
        <f t="shared" si="27"/>
        <v>0.46048871388948026</v>
      </c>
      <c r="AC70" s="1">
        <f t="shared" si="28"/>
        <v>0.53951128611051979</v>
      </c>
      <c r="AD70" s="1">
        <f>ABS(AB70 - Sheet2!AB70)</f>
        <v>0.14822760427460346</v>
      </c>
      <c r="AF70" s="15">
        <f t="shared" si="29"/>
        <v>2</v>
      </c>
      <c r="AG70" s="15">
        <f t="shared" si="30"/>
        <v>0</v>
      </c>
    </row>
    <row r="71" spans="1:33" x14ac:dyDescent="0.3">
      <c r="A71" s="2">
        <v>202210</v>
      </c>
      <c r="B71" s="6">
        <v>44859</v>
      </c>
      <c r="C71" s="3">
        <v>27</v>
      </c>
      <c r="D71" s="3">
        <v>53</v>
      </c>
      <c r="E71" s="3">
        <v>51</v>
      </c>
      <c r="F71" s="3">
        <v>9</v>
      </c>
      <c r="G71" s="3">
        <v>30</v>
      </c>
      <c r="H71" s="3">
        <v>19</v>
      </c>
      <c r="I71" s="3">
        <v>53</v>
      </c>
      <c r="J71" s="3" t="s">
        <v>19</v>
      </c>
      <c r="K71" s="3" t="s">
        <v>20</v>
      </c>
      <c r="L71" s="3" t="s">
        <v>23</v>
      </c>
      <c r="N71" s="1">
        <f t="shared" si="16"/>
        <v>0</v>
      </c>
      <c r="O71" s="1">
        <f t="shared" si="17"/>
        <v>9.5238095238095233E-2</v>
      </c>
      <c r="P71" s="1">
        <f t="shared" si="18"/>
        <v>0.5</v>
      </c>
      <c r="Q71" s="1">
        <f t="shared" si="19"/>
        <v>0</v>
      </c>
      <c r="R71" s="1">
        <f t="shared" si="20"/>
        <v>7.926829268292683E-2</v>
      </c>
      <c r="S71" s="1">
        <f t="shared" si="21"/>
        <v>0.1875</v>
      </c>
      <c r="T71" s="1">
        <f t="shared" si="22"/>
        <v>0.86200638792102202</v>
      </c>
      <c r="V71" s="1">
        <f>Sheet2!AB71^2</f>
        <v>6.6416258354314875E-2</v>
      </c>
      <c r="W71" s="1">
        <f>Sheet2!AC71^2</f>
        <v>0.55098921849585003</v>
      </c>
      <c r="X71" s="1">
        <f t="shared" si="23"/>
        <v>1.7932389755665017</v>
      </c>
      <c r="Y71" s="1">
        <f t="shared" si="24"/>
        <v>14.876708899387951</v>
      </c>
      <c r="Z71" s="1">
        <f t="shared" si="25"/>
        <v>3887.3391000000006</v>
      </c>
      <c r="AA71" s="1">
        <f t="shared" si="26"/>
        <v>3313.6437000000005</v>
      </c>
      <c r="AB71" s="1">
        <f t="shared" si="27"/>
        <v>0.46016547907877242</v>
      </c>
      <c r="AC71" s="1">
        <f t="shared" si="28"/>
        <v>0.53983452092122763</v>
      </c>
      <c r="AD71" s="1">
        <f>ABS(AB71 - Sheet2!AB71)</f>
        <v>0.20245195914954001</v>
      </c>
      <c r="AF71" s="15">
        <f t="shared" si="29"/>
        <v>2</v>
      </c>
      <c r="AG71" s="15">
        <f t="shared" si="30"/>
        <v>0</v>
      </c>
    </row>
    <row r="72" spans="1:33" x14ac:dyDescent="0.3">
      <c r="A72" s="2">
        <v>202210</v>
      </c>
      <c r="B72" s="6">
        <v>44858</v>
      </c>
      <c r="C72" s="3">
        <v>41</v>
      </c>
      <c r="D72" s="3">
        <v>57</v>
      </c>
      <c r="E72" s="3">
        <v>50</v>
      </c>
      <c r="F72" s="3">
        <v>10</v>
      </c>
      <c r="G72" s="3">
        <v>31</v>
      </c>
      <c r="H72" s="3">
        <v>18</v>
      </c>
      <c r="I72" s="3">
        <v>57</v>
      </c>
      <c r="J72" s="3" t="s">
        <v>19</v>
      </c>
      <c r="K72" s="3" t="s">
        <v>20</v>
      </c>
      <c r="L72" s="3" t="s">
        <v>21</v>
      </c>
      <c r="N72" s="1">
        <f t="shared" si="16"/>
        <v>0.2413793103448276</v>
      </c>
      <c r="O72" s="1">
        <f t="shared" si="17"/>
        <v>0.13333333333333333</v>
      </c>
      <c r="P72" s="1">
        <f t="shared" si="18"/>
        <v>0.41666666666666669</v>
      </c>
      <c r="Q72" s="1">
        <f t="shared" si="19"/>
        <v>5.2631578947368418E-2</v>
      </c>
      <c r="R72" s="1">
        <f t="shared" si="20"/>
        <v>8.5365853658536592E-2</v>
      </c>
      <c r="S72" s="1">
        <f t="shared" si="21"/>
        <v>0.15625</v>
      </c>
      <c r="T72" s="1">
        <f t="shared" si="22"/>
        <v>1.0856267429507325</v>
      </c>
      <c r="V72" s="1">
        <f>Sheet2!AB72^2</f>
        <v>0.10193928416543512</v>
      </c>
      <c r="W72" s="1">
        <f>Sheet2!AC72^2</f>
        <v>0.46338064420999564</v>
      </c>
      <c r="X72" s="1">
        <f t="shared" si="23"/>
        <v>4.1795106507828397</v>
      </c>
      <c r="Y72" s="1">
        <f t="shared" si="24"/>
        <v>18.998606412609821</v>
      </c>
      <c r="Z72" s="1">
        <f t="shared" si="25"/>
        <v>2809.0391000000009</v>
      </c>
      <c r="AA72" s="1">
        <f t="shared" si="26"/>
        <v>2240.6437000000001</v>
      </c>
      <c r="AB72" s="1">
        <f t="shared" si="27"/>
        <v>0.44371969265079375</v>
      </c>
      <c r="AC72" s="1">
        <f t="shared" si="28"/>
        <v>0.55628030734920619</v>
      </c>
      <c r="AD72" s="1">
        <f>ABS(AB72 - Sheet2!AB72)</f>
        <v>0.12444037267307406</v>
      </c>
      <c r="AF72" s="15">
        <f t="shared" si="29"/>
        <v>2</v>
      </c>
      <c r="AG72" s="15">
        <f t="shared" si="30"/>
        <v>0</v>
      </c>
    </row>
    <row r="73" spans="1:33" x14ac:dyDescent="0.3">
      <c r="A73" s="2">
        <v>202210</v>
      </c>
      <c r="B73" s="6">
        <v>44857</v>
      </c>
      <c r="C73" s="3">
        <v>52</v>
      </c>
      <c r="D73" s="3">
        <v>66</v>
      </c>
      <c r="E73" s="3">
        <v>51</v>
      </c>
      <c r="F73" s="3">
        <v>11</v>
      </c>
      <c r="G73" s="3">
        <v>45</v>
      </c>
      <c r="H73" s="3">
        <v>21</v>
      </c>
      <c r="I73" s="3">
        <v>66</v>
      </c>
      <c r="J73" s="3" t="s">
        <v>19</v>
      </c>
      <c r="K73" s="3" t="s">
        <v>20</v>
      </c>
      <c r="L73" s="3" t="s">
        <v>21</v>
      </c>
      <c r="N73" s="1">
        <f t="shared" si="16"/>
        <v>0.43103448275862066</v>
      </c>
      <c r="O73" s="1">
        <f t="shared" si="17"/>
        <v>0.21904761904761905</v>
      </c>
      <c r="P73" s="1">
        <f t="shared" si="18"/>
        <v>0.5</v>
      </c>
      <c r="Q73" s="1">
        <f t="shared" si="19"/>
        <v>0.10526315789473684</v>
      </c>
      <c r="R73" s="1">
        <f t="shared" si="20"/>
        <v>0.17073170731707318</v>
      </c>
      <c r="S73" s="1">
        <f t="shared" si="21"/>
        <v>0.25</v>
      </c>
      <c r="T73" s="1">
        <f t="shared" si="22"/>
        <v>1.6760769670180495</v>
      </c>
      <c r="V73" s="1">
        <f>Sheet2!AB73^2</f>
        <v>0.39724744351537339</v>
      </c>
      <c r="W73" s="1">
        <f>Sheet2!AC73^2</f>
        <v>0.13669606651343083</v>
      </c>
      <c r="X73" s="1">
        <f t="shared" si="23"/>
        <v>20.656867062799417</v>
      </c>
      <c r="Y73" s="1">
        <f t="shared" si="24"/>
        <v>7.1081954586984031</v>
      </c>
      <c r="Z73" s="1">
        <f t="shared" si="25"/>
        <v>1196.7391000000002</v>
      </c>
      <c r="AA73" s="1">
        <f t="shared" si="26"/>
        <v>955.62370000000044</v>
      </c>
      <c r="AB73" s="1">
        <f t="shared" si="27"/>
        <v>0.44398820682089474</v>
      </c>
      <c r="AC73" s="1">
        <f t="shared" si="28"/>
        <v>0.55601179317910532</v>
      </c>
      <c r="AD73" s="1">
        <f>ABS(AB73 - Sheet2!AB73)</f>
        <v>0.18628748168007653</v>
      </c>
      <c r="AF73" s="15">
        <f t="shared" si="29"/>
        <v>2</v>
      </c>
      <c r="AG73" s="15">
        <f t="shared" si="30"/>
        <v>0</v>
      </c>
    </row>
    <row r="74" spans="1:33" x14ac:dyDescent="0.3">
      <c r="A74" s="2">
        <v>202210</v>
      </c>
      <c r="B74" s="6">
        <v>44856</v>
      </c>
      <c r="C74" s="3">
        <v>58</v>
      </c>
      <c r="D74" s="3">
        <v>82</v>
      </c>
      <c r="E74" s="3">
        <v>51</v>
      </c>
      <c r="F74" s="3">
        <v>19</v>
      </c>
      <c r="G74" s="3">
        <v>39</v>
      </c>
      <c r="H74" s="3">
        <v>41</v>
      </c>
      <c r="I74" s="3">
        <v>82</v>
      </c>
      <c r="J74" s="3" t="s">
        <v>19</v>
      </c>
      <c r="K74" s="3" t="s">
        <v>20</v>
      </c>
      <c r="L74" s="3" t="s">
        <v>21</v>
      </c>
      <c r="N74" s="1">
        <f t="shared" si="16"/>
        <v>0.53448275862068961</v>
      </c>
      <c r="O74" s="1">
        <f t="shared" si="17"/>
        <v>0.37142857142857144</v>
      </c>
      <c r="P74" s="1">
        <f t="shared" si="18"/>
        <v>0.5</v>
      </c>
      <c r="Q74" s="1">
        <f t="shared" si="19"/>
        <v>0.52631578947368418</v>
      </c>
      <c r="R74" s="1">
        <f t="shared" si="20"/>
        <v>0.13414634146341464</v>
      </c>
      <c r="S74" s="1">
        <f t="shared" si="21"/>
        <v>0.875</v>
      </c>
      <c r="T74" s="1">
        <f t="shared" si="22"/>
        <v>2.9413734609863598</v>
      </c>
      <c r="V74" s="1">
        <f>Sheet2!AB74^2</f>
        <v>0.9151028123166568</v>
      </c>
      <c r="W74" s="1">
        <f>Sheet2!AC74^2</f>
        <v>1.8826866472064986E-3</v>
      </c>
      <c r="X74" s="1">
        <f t="shared" si="23"/>
        <v>53.075963114366097</v>
      </c>
      <c r="Y74" s="1">
        <f t="shared" si="24"/>
        <v>0.10919582553797692</v>
      </c>
      <c r="Z74" s="1">
        <f t="shared" si="25"/>
        <v>865.89910000000009</v>
      </c>
      <c r="AA74" s="1">
        <f t="shared" si="26"/>
        <v>411.18370000000004</v>
      </c>
      <c r="AB74" s="1">
        <f t="shared" si="27"/>
        <v>0.32197105778889201</v>
      </c>
      <c r="AC74" s="1">
        <f t="shared" si="28"/>
        <v>0.67802894221110799</v>
      </c>
      <c r="AD74" s="1">
        <f>ABS(AB74 - Sheet2!AB74)</f>
        <v>0.63463900504583315</v>
      </c>
      <c r="AF74" s="15">
        <f t="shared" si="29"/>
        <v>2</v>
      </c>
      <c r="AG74" s="15">
        <f t="shared" si="30"/>
        <v>0</v>
      </c>
    </row>
    <row r="75" spans="1:33" x14ac:dyDescent="0.3">
      <c r="A75" s="2">
        <v>202210</v>
      </c>
      <c r="B75" s="6">
        <v>44855</v>
      </c>
      <c r="C75" s="3">
        <v>52</v>
      </c>
      <c r="D75" s="3">
        <v>67</v>
      </c>
      <c r="E75" s="3">
        <v>50</v>
      </c>
      <c r="F75" s="3">
        <v>16</v>
      </c>
      <c r="G75" s="3">
        <v>31</v>
      </c>
      <c r="H75" s="3">
        <v>27</v>
      </c>
      <c r="I75" s="3">
        <v>67</v>
      </c>
      <c r="J75" s="3" t="s">
        <v>19</v>
      </c>
      <c r="K75" s="3" t="s">
        <v>20</v>
      </c>
      <c r="L75" s="3" t="s">
        <v>21</v>
      </c>
      <c r="N75" s="1">
        <f t="shared" si="16"/>
        <v>0.43103448275862066</v>
      </c>
      <c r="O75" s="1">
        <f t="shared" si="17"/>
        <v>0.22857142857142856</v>
      </c>
      <c r="P75" s="1">
        <f t="shared" si="18"/>
        <v>0.41666666666666669</v>
      </c>
      <c r="Q75" s="1">
        <f t="shared" si="19"/>
        <v>0.36842105263157893</v>
      </c>
      <c r="R75" s="1">
        <f t="shared" si="20"/>
        <v>8.5365853658536592E-2</v>
      </c>
      <c r="S75" s="1">
        <f t="shared" si="21"/>
        <v>0.4375</v>
      </c>
      <c r="T75" s="1">
        <f t="shared" si="22"/>
        <v>1.9675594842868316</v>
      </c>
      <c r="V75" s="1">
        <f>Sheet2!AB75^2</f>
        <v>0.75067239831502119</v>
      </c>
      <c r="W75" s="1">
        <f>Sheet2!AC75^2</f>
        <v>1.7845345992694144E-2</v>
      </c>
      <c r="X75" s="1">
        <f t="shared" si="23"/>
        <v>39.034964712381104</v>
      </c>
      <c r="Y75" s="1">
        <f t="shared" si="24"/>
        <v>0.92795799162009551</v>
      </c>
      <c r="Z75" s="1">
        <f t="shared" si="25"/>
        <v>1749.3991000000001</v>
      </c>
      <c r="AA75" s="1">
        <f t="shared" si="26"/>
        <v>1139.6237000000003</v>
      </c>
      <c r="AB75" s="1">
        <f t="shared" si="27"/>
        <v>0.39446684186777625</v>
      </c>
      <c r="AC75" s="1">
        <f t="shared" si="28"/>
        <v>0.60553315813222375</v>
      </c>
      <c r="AD75" s="1">
        <f>ABS(AB75 - Sheet2!AB75)</f>
        <v>0.47194668429338726</v>
      </c>
      <c r="AF75" s="15">
        <f t="shared" si="29"/>
        <v>2</v>
      </c>
      <c r="AG75" s="15">
        <f t="shared" si="30"/>
        <v>0</v>
      </c>
    </row>
    <row r="76" spans="1:33" x14ac:dyDescent="0.3">
      <c r="A76" s="2">
        <v>202210</v>
      </c>
      <c r="B76" s="6">
        <v>44854</v>
      </c>
      <c r="C76" s="3">
        <v>67</v>
      </c>
      <c r="D76" s="3">
        <v>88</v>
      </c>
      <c r="E76" s="3">
        <v>51</v>
      </c>
      <c r="F76" s="3">
        <v>28</v>
      </c>
      <c r="G76" s="3">
        <v>47</v>
      </c>
      <c r="H76" s="3">
        <v>45</v>
      </c>
      <c r="I76" s="3">
        <v>88</v>
      </c>
      <c r="J76" s="3" t="s">
        <v>19</v>
      </c>
      <c r="K76" s="3" t="s">
        <v>20</v>
      </c>
      <c r="L76" s="3" t="s">
        <v>21</v>
      </c>
      <c r="N76" s="1">
        <f t="shared" si="16"/>
        <v>0.68965517241379315</v>
      </c>
      <c r="O76" s="1">
        <f t="shared" si="17"/>
        <v>0.42857142857142855</v>
      </c>
      <c r="P76" s="1">
        <f t="shared" si="18"/>
        <v>0.5</v>
      </c>
      <c r="Q76" s="1">
        <f t="shared" si="19"/>
        <v>1</v>
      </c>
      <c r="R76" s="1">
        <f t="shared" si="20"/>
        <v>0.18292682926829268</v>
      </c>
      <c r="S76" s="1">
        <f t="shared" si="21"/>
        <v>1</v>
      </c>
      <c r="T76" s="1">
        <f t="shared" si="22"/>
        <v>3.8011534302535144</v>
      </c>
      <c r="V76" s="1">
        <f>Sheet2!AB76^2</f>
        <v>0.76489336954676856</v>
      </c>
      <c r="W76" s="1">
        <f>Sheet2!AC76^2</f>
        <v>1.5729718487476094E-2</v>
      </c>
      <c r="X76" s="1">
        <f t="shared" si="23"/>
        <v>51.247855759633495</v>
      </c>
      <c r="Y76" s="1">
        <f t="shared" si="24"/>
        <v>1.0538911386608982</v>
      </c>
      <c r="Z76" s="1">
        <f t="shared" si="25"/>
        <v>716.43910000000005</v>
      </c>
      <c r="AA76" s="1">
        <f t="shared" si="26"/>
        <v>443.00370000000004</v>
      </c>
      <c r="AB76" s="1">
        <f t="shared" si="27"/>
        <v>0.38208327310325269</v>
      </c>
      <c r="AC76" s="1">
        <f t="shared" si="28"/>
        <v>0.61791672689674737</v>
      </c>
      <c r="AD76" s="1">
        <f>ABS(AB76 - Sheet2!AB76)</f>
        <v>0.49249855242639357</v>
      </c>
      <c r="AF76" s="15">
        <f t="shared" si="29"/>
        <v>2</v>
      </c>
      <c r="AG76" s="15">
        <f t="shared" si="30"/>
        <v>0</v>
      </c>
    </row>
    <row r="77" spans="1:33" x14ac:dyDescent="0.3">
      <c r="A77" s="2">
        <v>202210</v>
      </c>
      <c r="B77" s="6">
        <v>44853</v>
      </c>
      <c r="C77" s="3">
        <v>64</v>
      </c>
      <c r="D77" s="3">
        <v>92</v>
      </c>
      <c r="E77" s="3">
        <v>51</v>
      </c>
      <c r="F77" s="3">
        <v>22</v>
      </c>
      <c r="G77" s="3">
        <v>42</v>
      </c>
      <c r="H77" s="3">
        <v>44</v>
      </c>
      <c r="I77" s="3">
        <v>92</v>
      </c>
      <c r="J77" s="3" t="s">
        <v>19</v>
      </c>
      <c r="K77" s="3" t="s">
        <v>20</v>
      </c>
      <c r="L77" s="3" t="s">
        <v>21</v>
      </c>
      <c r="N77" s="1">
        <f t="shared" si="16"/>
        <v>0.63793103448275867</v>
      </c>
      <c r="O77" s="1">
        <f t="shared" si="17"/>
        <v>0.46666666666666667</v>
      </c>
      <c r="P77" s="1">
        <f t="shared" si="18"/>
        <v>0.5</v>
      </c>
      <c r="Q77" s="1">
        <f t="shared" si="19"/>
        <v>0.68421052631578949</v>
      </c>
      <c r="R77" s="1">
        <f t="shared" si="20"/>
        <v>0.1524390243902439</v>
      </c>
      <c r="S77" s="1">
        <f t="shared" si="21"/>
        <v>0.96875</v>
      </c>
      <c r="T77" s="1">
        <f t="shared" si="22"/>
        <v>3.4099972518554584</v>
      </c>
      <c r="V77" s="1">
        <f>Sheet2!AB77^2</f>
        <v>0.86535215190118242</v>
      </c>
      <c r="W77" s="1">
        <f>Sheet2!AC77^2</f>
        <v>4.8660305864520349E-3</v>
      </c>
      <c r="X77" s="1">
        <f t="shared" si="23"/>
        <v>55.382537721675675</v>
      </c>
      <c r="Y77" s="1">
        <f t="shared" si="24"/>
        <v>0.31142595753293023</v>
      </c>
      <c r="Z77" s="1">
        <f t="shared" si="25"/>
        <v>743.95909999999992</v>
      </c>
      <c r="AA77" s="1">
        <f t="shared" si="26"/>
        <v>333.90369999999996</v>
      </c>
      <c r="AB77" s="1">
        <f t="shared" si="27"/>
        <v>0.30978311896467714</v>
      </c>
      <c r="AC77" s="1">
        <f t="shared" si="28"/>
        <v>0.69021688103532286</v>
      </c>
      <c r="AD77" s="1">
        <f>ABS(AB77 - Sheet2!AB77)</f>
        <v>0.62045994169268803</v>
      </c>
      <c r="AF77" s="15">
        <f t="shared" si="29"/>
        <v>2</v>
      </c>
      <c r="AG77" s="15">
        <f t="shared" si="30"/>
        <v>0</v>
      </c>
    </row>
    <row r="78" spans="1:33" x14ac:dyDescent="0.3">
      <c r="A78" s="2">
        <v>202210</v>
      </c>
      <c r="B78" s="6">
        <v>44852</v>
      </c>
      <c r="C78" s="3">
        <v>59</v>
      </c>
      <c r="D78" s="3">
        <v>79</v>
      </c>
      <c r="E78" s="3">
        <v>50</v>
      </c>
      <c r="F78" s="3">
        <v>16</v>
      </c>
      <c r="G78" s="3">
        <v>45</v>
      </c>
      <c r="H78" s="3">
        <v>35</v>
      </c>
      <c r="I78" s="3">
        <v>79</v>
      </c>
      <c r="J78" s="3" t="s">
        <v>19</v>
      </c>
      <c r="K78" s="3" t="s">
        <v>20</v>
      </c>
      <c r="L78" s="3" t="s">
        <v>26</v>
      </c>
      <c r="N78" s="1">
        <f t="shared" si="16"/>
        <v>0.55172413793103448</v>
      </c>
      <c r="O78" s="1">
        <f t="shared" si="17"/>
        <v>0.34285714285714286</v>
      </c>
      <c r="P78" s="1">
        <f t="shared" si="18"/>
        <v>0.41666666666666669</v>
      </c>
      <c r="Q78" s="1">
        <f t="shared" si="19"/>
        <v>0.36842105263157893</v>
      </c>
      <c r="R78" s="1">
        <f t="shared" si="20"/>
        <v>0.17073170731707318</v>
      </c>
      <c r="S78" s="1">
        <f t="shared" si="21"/>
        <v>0.6875</v>
      </c>
      <c r="T78" s="1">
        <f t="shared" si="22"/>
        <v>2.5379007074034963</v>
      </c>
      <c r="V78" s="1">
        <f>Sheet2!AB78^2</f>
        <v>0.94617659619814143</v>
      </c>
      <c r="W78" s="1">
        <f>Sheet2!AC78^2</f>
        <v>7.4441161997790511E-4</v>
      </c>
      <c r="X78" s="1">
        <f t="shared" si="23"/>
        <v>55.824419175690345</v>
      </c>
      <c r="Y78" s="1">
        <f t="shared" si="24"/>
        <v>4.39202855786964E-2</v>
      </c>
      <c r="Z78" s="1">
        <f t="shared" si="25"/>
        <v>561.21910000000014</v>
      </c>
      <c r="AA78" s="1">
        <f t="shared" si="26"/>
        <v>275.92370000000011</v>
      </c>
      <c r="AB78" s="1">
        <f t="shared" si="27"/>
        <v>0.32960171191820564</v>
      </c>
      <c r="AC78" s="1">
        <f t="shared" si="28"/>
        <v>0.67039828808179436</v>
      </c>
      <c r="AD78" s="1">
        <f>ABS(AB78 - Sheet2!AB78)</f>
        <v>0.64311438037087609</v>
      </c>
      <c r="AF78" s="15">
        <f t="shared" si="29"/>
        <v>2</v>
      </c>
      <c r="AG78" s="15">
        <f t="shared" si="30"/>
        <v>0</v>
      </c>
    </row>
    <row r="79" spans="1:33" x14ac:dyDescent="0.3">
      <c r="A79" s="2">
        <v>202210</v>
      </c>
      <c r="B79" s="6">
        <v>44851</v>
      </c>
      <c r="C79" s="3">
        <v>56</v>
      </c>
      <c r="D79" s="3">
        <v>85</v>
      </c>
      <c r="E79" s="3">
        <v>51</v>
      </c>
      <c r="F79" s="3">
        <v>13</v>
      </c>
      <c r="G79" s="3">
        <v>54</v>
      </c>
      <c r="H79" s="3">
        <v>25</v>
      </c>
      <c r="I79" s="3">
        <v>85</v>
      </c>
      <c r="J79" s="3" t="s">
        <v>19</v>
      </c>
      <c r="K79" s="3" t="s">
        <v>20</v>
      </c>
      <c r="L79" s="3" t="s">
        <v>21</v>
      </c>
      <c r="N79" s="1">
        <f t="shared" si="16"/>
        <v>0.5</v>
      </c>
      <c r="O79" s="1">
        <f t="shared" si="17"/>
        <v>0.4</v>
      </c>
      <c r="P79" s="1">
        <f t="shared" si="18"/>
        <v>0.5</v>
      </c>
      <c r="Q79" s="1">
        <f t="shared" si="19"/>
        <v>0.21052631578947367</v>
      </c>
      <c r="R79" s="1">
        <f t="shared" si="20"/>
        <v>0.22560975609756098</v>
      </c>
      <c r="S79" s="1">
        <f t="shared" si="21"/>
        <v>0.375</v>
      </c>
      <c r="T79" s="1">
        <f t="shared" si="22"/>
        <v>2.2111360718870348</v>
      </c>
      <c r="V79" s="1">
        <f>Sheet2!AB79^2</f>
        <v>0.74064128375304072</v>
      </c>
      <c r="W79" s="1">
        <f>Sheet2!AC79^2</f>
        <v>1.9430914561592089E-2</v>
      </c>
      <c r="X79" s="1">
        <f t="shared" si="23"/>
        <v>41.475911890170281</v>
      </c>
      <c r="Y79" s="1">
        <f t="shared" si="24"/>
        <v>1.0881312154491569</v>
      </c>
      <c r="Z79" s="1">
        <f t="shared" si="25"/>
        <v>206.67910000000006</v>
      </c>
      <c r="AA79" s="1">
        <f t="shared" si="26"/>
        <v>145.10370000000012</v>
      </c>
      <c r="AB79" s="1">
        <f t="shared" si="27"/>
        <v>0.41248093994362439</v>
      </c>
      <c r="AC79" s="1">
        <f t="shared" si="28"/>
        <v>0.58751906005637555</v>
      </c>
      <c r="AD79" s="1">
        <f>ABS(AB79 - Sheet2!AB79)</f>
        <v>0.44812424465209993</v>
      </c>
      <c r="AF79" s="15">
        <f t="shared" si="29"/>
        <v>2</v>
      </c>
      <c r="AG79" s="15">
        <f t="shared" si="30"/>
        <v>0</v>
      </c>
    </row>
    <row r="80" spans="1:33" x14ac:dyDescent="0.3">
      <c r="A80" s="2">
        <v>202210</v>
      </c>
      <c r="B80" s="6">
        <v>44850</v>
      </c>
      <c r="C80" s="3">
        <v>62</v>
      </c>
      <c r="D80" s="3">
        <v>93</v>
      </c>
      <c r="E80" s="3">
        <v>51</v>
      </c>
      <c r="F80" s="3">
        <v>19</v>
      </c>
      <c r="G80" s="3">
        <v>52</v>
      </c>
      <c r="H80" s="3">
        <v>36</v>
      </c>
      <c r="I80" s="3">
        <v>93</v>
      </c>
      <c r="J80" s="3" t="s">
        <v>19</v>
      </c>
      <c r="K80" s="3" t="s">
        <v>20</v>
      </c>
      <c r="L80" s="3" t="s">
        <v>21</v>
      </c>
      <c r="N80" s="1">
        <f t="shared" si="16"/>
        <v>0.60344827586206895</v>
      </c>
      <c r="O80" s="1">
        <f t="shared" si="17"/>
        <v>0.47619047619047616</v>
      </c>
      <c r="P80" s="1">
        <f t="shared" si="18"/>
        <v>0.5</v>
      </c>
      <c r="Q80" s="1">
        <f t="shared" si="19"/>
        <v>0.52631578947368418</v>
      </c>
      <c r="R80" s="1">
        <f t="shared" si="20"/>
        <v>0.21341463414634146</v>
      </c>
      <c r="S80" s="1">
        <f t="shared" si="21"/>
        <v>0.71875</v>
      </c>
      <c r="T80" s="1">
        <f t="shared" si="22"/>
        <v>3.0381191756725707</v>
      </c>
      <c r="V80" s="1">
        <f>Sheet2!AB80^2</f>
        <v>0.9775777688505527</v>
      </c>
      <c r="W80" s="1">
        <f>Sheet2!AC80^2</f>
        <v>1.2711829003598122E-4</v>
      </c>
      <c r="X80" s="1">
        <f t="shared" si="23"/>
        <v>60.60982166873427</v>
      </c>
      <c r="Y80" s="1">
        <f t="shared" si="24"/>
        <v>7.8813339822308356E-3</v>
      </c>
      <c r="Z80" s="1">
        <f t="shared" si="25"/>
        <v>207.4991</v>
      </c>
      <c r="AA80" s="1">
        <f t="shared" si="26"/>
        <v>61.583700000000015</v>
      </c>
      <c r="AB80" s="1">
        <f t="shared" si="27"/>
        <v>0.22886524147957438</v>
      </c>
      <c r="AC80" s="1">
        <f t="shared" si="28"/>
        <v>0.77113475852042557</v>
      </c>
      <c r="AD80" s="1">
        <f>ABS(AB80 - Sheet2!AB80)</f>
        <v>0.75986008380068393</v>
      </c>
      <c r="AF80" s="15">
        <f t="shared" si="29"/>
        <v>2</v>
      </c>
      <c r="AG80" s="15">
        <f t="shared" si="30"/>
        <v>0</v>
      </c>
    </row>
    <row r="81" spans="1:33" x14ac:dyDescent="0.3">
      <c r="A81" s="2">
        <v>202210</v>
      </c>
      <c r="B81" s="6">
        <v>44849</v>
      </c>
      <c r="C81" s="3">
        <v>55</v>
      </c>
      <c r="D81" s="3">
        <v>78</v>
      </c>
      <c r="E81" s="3">
        <v>51</v>
      </c>
      <c r="F81" s="3">
        <v>13</v>
      </c>
      <c r="G81" s="3">
        <v>58</v>
      </c>
      <c r="H81" s="3">
        <v>27</v>
      </c>
      <c r="I81" s="3">
        <v>78</v>
      </c>
      <c r="J81" s="3" t="s">
        <v>19</v>
      </c>
      <c r="K81" s="3" t="s">
        <v>20</v>
      </c>
      <c r="L81" s="3" t="s">
        <v>21</v>
      </c>
      <c r="N81" s="1">
        <f t="shared" si="16"/>
        <v>0.48275862068965519</v>
      </c>
      <c r="O81" s="1">
        <f t="shared" si="17"/>
        <v>0.33333333333333331</v>
      </c>
      <c r="P81" s="1">
        <f t="shared" si="18"/>
        <v>0.5</v>
      </c>
      <c r="Q81" s="1">
        <f t="shared" si="19"/>
        <v>0.21052631578947367</v>
      </c>
      <c r="R81" s="1">
        <f t="shared" si="20"/>
        <v>0.25</v>
      </c>
      <c r="S81" s="1">
        <f t="shared" si="21"/>
        <v>0.4375</v>
      </c>
      <c r="T81" s="1">
        <f t="shared" si="22"/>
        <v>2.2141182698124622</v>
      </c>
      <c r="V81" s="1">
        <f>Sheet2!AB81^2</f>
        <v>0.75595490732862969</v>
      </c>
      <c r="W81" s="1">
        <f>Sheet2!AC81^2</f>
        <v>1.7041560058410263E-2</v>
      </c>
      <c r="X81" s="1">
        <f t="shared" si="23"/>
        <v>41.577519903074631</v>
      </c>
      <c r="Y81" s="1">
        <f t="shared" si="24"/>
        <v>0.93728580321256449</v>
      </c>
      <c r="Z81" s="1">
        <f t="shared" si="25"/>
        <v>288.43910000000017</v>
      </c>
      <c r="AA81" s="1">
        <f t="shared" si="26"/>
        <v>349.8837000000002</v>
      </c>
      <c r="AB81" s="1">
        <f t="shared" si="27"/>
        <v>0.54812972370719015</v>
      </c>
      <c r="AC81" s="1">
        <f t="shared" si="28"/>
        <v>0.45187027629280985</v>
      </c>
      <c r="AD81" s="1">
        <f>ABS(AB81 - Sheet2!AB81)</f>
        <v>0.32132694992791955</v>
      </c>
      <c r="AF81" s="15">
        <f t="shared" si="29"/>
        <v>1</v>
      </c>
      <c r="AG81" s="15">
        <f t="shared" si="30"/>
        <v>1</v>
      </c>
    </row>
    <row r="82" spans="1:33" x14ac:dyDescent="0.3">
      <c r="A82" s="2">
        <v>202210</v>
      </c>
      <c r="B82" s="6">
        <v>44848</v>
      </c>
      <c r="C82" s="3">
        <v>67</v>
      </c>
      <c r="D82" s="3">
        <v>94</v>
      </c>
      <c r="E82" s="3">
        <v>50</v>
      </c>
      <c r="F82" s="3">
        <v>28</v>
      </c>
      <c r="G82" s="3">
        <v>47</v>
      </c>
      <c r="H82" s="3">
        <v>45</v>
      </c>
      <c r="I82" s="3">
        <v>94</v>
      </c>
      <c r="J82" s="3" t="s">
        <v>19</v>
      </c>
      <c r="K82" s="3" t="s">
        <v>20</v>
      </c>
      <c r="L82" s="3" t="s">
        <v>21</v>
      </c>
      <c r="N82" s="1">
        <f t="shared" si="16"/>
        <v>0.68965517241379315</v>
      </c>
      <c r="O82" s="1">
        <f t="shared" si="17"/>
        <v>0.48571428571428571</v>
      </c>
      <c r="P82" s="1">
        <f t="shared" si="18"/>
        <v>0.41666666666666669</v>
      </c>
      <c r="Q82" s="1">
        <f t="shared" si="19"/>
        <v>1</v>
      </c>
      <c r="R82" s="1">
        <f t="shared" si="20"/>
        <v>0.18292682926829268</v>
      </c>
      <c r="S82" s="1">
        <f t="shared" si="21"/>
        <v>1</v>
      </c>
      <c r="T82" s="1">
        <f t="shared" si="22"/>
        <v>3.7749629540630383</v>
      </c>
      <c r="V82" s="1">
        <f>Sheet2!AB82^2</f>
        <v>0.76012286026240095</v>
      </c>
      <c r="W82" s="1">
        <f>Sheet2!AC82^2</f>
        <v>1.6422358154999532E-2</v>
      </c>
      <c r="X82" s="1">
        <f t="shared" si="23"/>
        <v>50.928231637580865</v>
      </c>
      <c r="Y82" s="1">
        <f t="shared" si="24"/>
        <v>1.1002979963849686</v>
      </c>
      <c r="Z82" s="1">
        <f t="shared" si="25"/>
        <v>699.51909999999998</v>
      </c>
      <c r="AA82" s="1">
        <f t="shared" si="26"/>
        <v>413.28369999999995</v>
      </c>
      <c r="AB82" s="1">
        <f t="shared" si="27"/>
        <v>0.37138988147765262</v>
      </c>
      <c r="AC82" s="1">
        <f t="shared" si="28"/>
        <v>0.62861011852234738</v>
      </c>
      <c r="AD82" s="1">
        <f>ABS(AB82 - Sheet2!AB82)</f>
        <v>0.50046036957604811</v>
      </c>
      <c r="AF82" s="15">
        <f t="shared" si="29"/>
        <v>2</v>
      </c>
      <c r="AG82" s="15">
        <f t="shared" si="30"/>
        <v>0</v>
      </c>
    </row>
    <row r="83" spans="1:33" x14ac:dyDescent="0.3">
      <c r="A83" s="2">
        <v>202210</v>
      </c>
      <c r="B83" s="6">
        <v>44847</v>
      </c>
      <c r="C83" s="3">
        <v>63</v>
      </c>
      <c r="D83" s="3">
        <v>91</v>
      </c>
      <c r="E83" s="3">
        <v>52</v>
      </c>
      <c r="F83" s="3">
        <v>17</v>
      </c>
      <c r="G83" s="3">
        <v>54</v>
      </c>
      <c r="H83" s="3">
        <v>36</v>
      </c>
      <c r="I83" s="3">
        <v>91</v>
      </c>
      <c r="J83" s="3" t="s">
        <v>19</v>
      </c>
      <c r="K83" s="3" t="s">
        <v>20</v>
      </c>
      <c r="L83" s="3" t="s">
        <v>21</v>
      </c>
      <c r="N83" s="1">
        <f t="shared" si="16"/>
        <v>0.62068965517241381</v>
      </c>
      <c r="O83" s="1">
        <f t="shared" si="17"/>
        <v>0.45714285714285713</v>
      </c>
      <c r="P83" s="1">
        <f t="shared" si="18"/>
        <v>0.58333333333333337</v>
      </c>
      <c r="Q83" s="1">
        <f t="shared" si="19"/>
        <v>0.42105263157894735</v>
      </c>
      <c r="R83" s="1">
        <f t="shared" si="20"/>
        <v>0.22560975609756098</v>
      </c>
      <c r="S83" s="1">
        <f t="shared" si="21"/>
        <v>0.71875</v>
      </c>
      <c r="T83" s="1">
        <f t="shared" si="22"/>
        <v>3.0265782333251128</v>
      </c>
      <c r="V83" s="1">
        <f>Sheet2!AB83^2</f>
        <v>0.95875062276042666</v>
      </c>
      <c r="W83" s="1">
        <f>Sheet2!AC83^2</f>
        <v>4.3438398750910437E-4</v>
      </c>
      <c r="X83" s="1">
        <f t="shared" si="23"/>
        <v>60.40128923390688</v>
      </c>
      <c r="Y83" s="1">
        <f t="shared" si="24"/>
        <v>2.7366191213073574E-2</v>
      </c>
      <c r="Z83" s="1">
        <f t="shared" si="25"/>
        <v>180.51910000000004</v>
      </c>
      <c r="AA83" s="1">
        <f t="shared" si="26"/>
        <v>88.60370000000006</v>
      </c>
      <c r="AB83" s="1">
        <f t="shared" si="27"/>
        <v>0.32923148837631011</v>
      </c>
      <c r="AC83" s="1">
        <f t="shared" si="28"/>
        <v>0.67076851162368989</v>
      </c>
      <c r="AD83" s="1">
        <f>ABS(AB83 - Sheet2!AB83)</f>
        <v>0.64992663101014869</v>
      </c>
      <c r="AF83" s="15">
        <f t="shared" si="29"/>
        <v>2</v>
      </c>
      <c r="AG83" s="15">
        <f t="shared" si="30"/>
        <v>0</v>
      </c>
    </row>
    <row r="84" spans="1:33" x14ac:dyDescent="0.3">
      <c r="A84" s="2">
        <v>202210</v>
      </c>
      <c r="B84" s="6">
        <v>44846</v>
      </c>
      <c r="C84" s="3">
        <v>70</v>
      </c>
      <c r="D84" s="3">
        <v>97</v>
      </c>
      <c r="E84" s="3">
        <v>54</v>
      </c>
      <c r="F84" s="3">
        <v>27</v>
      </c>
      <c r="G84" s="3">
        <v>44</v>
      </c>
      <c r="H84" s="3">
        <v>42</v>
      </c>
      <c r="I84" s="3">
        <v>97</v>
      </c>
      <c r="J84" s="3" t="s">
        <v>19</v>
      </c>
      <c r="K84" s="3" t="s">
        <v>20</v>
      </c>
      <c r="L84" s="3" t="s">
        <v>21</v>
      </c>
      <c r="N84" s="1">
        <f t="shared" si="16"/>
        <v>0.74137931034482762</v>
      </c>
      <c r="O84" s="1">
        <f t="shared" si="17"/>
        <v>0.51428571428571423</v>
      </c>
      <c r="P84" s="1">
        <f t="shared" si="18"/>
        <v>0.75</v>
      </c>
      <c r="Q84" s="1">
        <f t="shared" si="19"/>
        <v>0.94736842105263153</v>
      </c>
      <c r="R84" s="1">
        <f t="shared" si="20"/>
        <v>0.16463414634146342</v>
      </c>
      <c r="S84" s="1">
        <f t="shared" si="21"/>
        <v>0.90625</v>
      </c>
      <c r="T84" s="1">
        <f t="shared" si="22"/>
        <v>4.0239175920246364</v>
      </c>
      <c r="V84" s="1">
        <f>Sheet2!AB84^2</f>
        <v>0.7847381904625903</v>
      </c>
      <c r="W84" s="1">
        <f>Sheet2!AC84^2</f>
        <v>1.3029195776848688E-2</v>
      </c>
      <c r="X84" s="1">
        <f t="shared" si="23"/>
        <v>54.931673332381322</v>
      </c>
      <c r="Y84" s="1">
        <f t="shared" si="24"/>
        <v>0.91204370437940818</v>
      </c>
      <c r="Z84" s="1">
        <f t="shared" si="25"/>
        <v>814.73909999999989</v>
      </c>
      <c r="AA84" s="1">
        <f t="shared" si="26"/>
        <v>429.06369999999993</v>
      </c>
      <c r="AB84" s="1">
        <f t="shared" si="27"/>
        <v>0.34496119481319704</v>
      </c>
      <c r="AC84" s="1">
        <f t="shared" si="28"/>
        <v>0.65503880518680302</v>
      </c>
      <c r="AD84" s="1">
        <f>ABS(AB84 - Sheet2!AB84)</f>
        <v>0.54089330252967383</v>
      </c>
      <c r="AF84" s="15">
        <f t="shared" si="29"/>
        <v>2</v>
      </c>
      <c r="AG84" s="15">
        <f t="shared" si="30"/>
        <v>0</v>
      </c>
    </row>
    <row r="85" spans="1:33" ht="27.6" x14ac:dyDescent="0.3">
      <c r="A85" s="2">
        <v>202210</v>
      </c>
      <c r="B85" s="6">
        <v>44845</v>
      </c>
      <c r="C85" s="3">
        <v>77</v>
      </c>
      <c r="D85" s="3">
        <v>126</v>
      </c>
      <c r="E85" s="3">
        <v>51</v>
      </c>
      <c r="F85" s="3">
        <v>23</v>
      </c>
      <c r="G85" s="3">
        <v>59</v>
      </c>
      <c r="H85" s="3">
        <v>45</v>
      </c>
      <c r="I85" s="3">
        <v>126</v>
      </c>
      <c r="J85" s="3" t="s">
        <v>19</v>
      </c>
      <c r="K85" s="3" t="s">
        <v>22</v>
      </c>
      <c r="L85" s="3" t="s">
        <v>21</v>
      </c>
      <c r="N85" s="1">
        <f t="shared" si="16"/>
        <v>0.86206896551724133</v>
      </c>
      <c r="O85" s="1">
        <f t="shared" si="17"/>
        <v>0.79047619047619044</v>
      </c>
      <c r="P85" s="1">
        <f t="shared" si="18"/>
        <v>0.5</v>
      </c>
      <c r="Q85" s="1">
        <f t="shared" si="19"/>
        <v>0.73684210526315785</v>
      </c>
      <c r="R85" s="1">
        <f t="shared" si="20"/>
        <v>0.25609756097560976</v>
      </c>
      <c r="S85" s="1">
        <f t="shared" si="21"/>
        <v>1</v>
      </c>
      <c r="T85" s="1">
        <f t="shared" si="22"/>
        <v>4.1454848222321994</v>
      </c>
      <c r="V85" s="1">
        <f>Sheet2!AB85^2</f>
        <v>0.77539746585197289</v>
      </c>
      <c r="W85" s="1">
        <f>Sheet2!AC85^2</f>
        <v>1.426434669036575E-2</v>
      </c>
      <c r="X85" s="1">
        <f t="shared" si="23"/>
        <v>59.70560487060191</v>
      </c>
      <c r="Y85" s="1">
        <f t="shared" si="24"/>
        <v>1.0983546951581626</v>
      </c>
      <c r="Z85" s="1">
        <f t="shared" si="25"/>
        <v>1791.5590999999995</v>
      </c>
      <c r="AA85" s="1">
        <f t="shared" si="26"/>
        <v>1723.4036999999996</v>
      </c>
      <c r="AB85" s="1">
        <f t="shared" si="27"/>
        <v>0.49030496140670393</v>
      </c>
      <c r="AC85" s="1">
        <f t="shared" si="28"/>
        <v>0.50969503859329612</v>
      </c>
      <c r="AD85" s="1">
        <f>ABS(AB85 - Sheet2!AB85)</f>
        <v>0.39026159817409961</v>
      </c>
      <c r="AF85" s="15">
        <f t="shared" si="29"/>
        <v>2</v>
      </c>
      <c r="AG85" s="15">
        <f t="shared" si="30"/>
        <v>1</v>
      </c>
    </row>
    <row r="86" spans="1:33" x14ac:dyDescent="0.3">
      <c r="A86" s="2">
        <v>202210</v>
      </c>
      <c r="B86" s="6">
        <v>44844</v>
      </c>
      <c r="C86" s="3">
        <v>54</v>
      </c>
      <c r="D86" s="3">
        <v>74</v>
      </c>
      <c r="E86" s="3">
        <v>50</v>
      </c>
      <c r="F86" s="3">
        <v>14</v>
      </c>
      <c r="G86" s="3">
        <v>38</v>
      </c>
      <c r="H86" s="3">
        <v>25</v>
      </c>
      <c r="I86" s="3">
        <v>74</v>
      </c>
      <c r="J86" s="3" t="s">
        <v>19</v>
      </c>
      <c r="K86" s="3" t="s">
        <v>20</v>
      </c>
      <c r="L86" s="3" t="s">
        <v>21</v>
      </c>
      <c r="N86" s="1">
        <f t="shared" si="16"/>
        <v>0.46551724137931033</v>
      </c>
      <c r="O86" s="1">
        <f t="shared" si="17"/>
        <v>0.29523809523809524</v>
      </c>
      <c r="P86" s="1">
        <f t="shared" si="18"/>
        <v>0.41666666666666669</v>
      </c>
      <c r="Q86" s="1">
        <f t="shared" si="19"/>
        <v>0.26315789473684209</v>
      </c>
      <c r="R86" s="1">
        <f t="shared" si="20"/>
        <v>0.12804878048780488</v>
      </c>
      <c r="S86" s="1">
        <f t="shared" si="21"/>
        <v>0.375</v>
      </c>
      <c r="T86" s="1">
        <f t="shared" si="22"/>
        <v>1.9436286785087193</v>
      </c>
      <c r="V86" s="1">
        <f>Sheet2!AB86^2</f>
        <v>0.69134563718871123</v>
      </c>
      <c r="W86" s="1">
        <f>Sheet2!AC86^2</f>
        <v>2.8401696836287654E-2</v>
      </c>
      <c r="X86" s="1">
        <f t="shared" si="23"/>
        <v>37.332664408190404</v>
      </c>
      <c r="Y86" s="1">
        <f t="shared" si="24"/>
        <v>1.5336916291595333</v>
      </c>
      <c r="Z86" s="1">
        <f t="shared" si="25"/>
        <v>1041.9791</v>
      </c>
      <c r="AA86" s="1">
        <f t="shared" si="26"/>
        <v>595.94370000000015</v>
      </c>
      <c r="AB86" s="1">
        <f t="shared" si="27"/>
        <v>0.3638411407424087</v>
      </c>
      <c r="AC86" s="1">
        <f t="shared" si="28"/>
        <v>0.6361588592575913</v>
      </c>
      <c r="AD86" s="1">
        <f>ABS(AB86 - Sheet2!AB86)</f>
        <v>0.46763082943380307</v>
      </c>
      <c r="AF86" s="15">
        <f t="shared" si="29"/>
        <v>2</v>
      </c>
      <c r="AG86" s="15">
        <f t="shared" si="30"/>
        <v>0</v>
      </c>
    </row>
    <row r="87" spans="1:33" x14ac:dyDescent="0.3">
      <c r="A87" s="2">
        <v>202210</v>
      </c>
      <c r="B87" s="6">
        <v>44843</v>
      </c>
      <c r="C87" s="3">
        <v>58</v>
      </c>
      <c r="D87" s="3">
        <v>95</v>
      </c>
      <c r="E87" s="3">
        <v>50</v>
      </c>
      <c r="F87" s="3">
        <v>24</v>
      </c>
      <c r="G87" s="3">
        <v>39</v>
      </c>
      <c r="H87" s="3">
        <v>35</v>
      </c>
      <c r="I87" s="3">
        <v>95</v>
      </c>
      <c r="J87" s="3" t="s">
        <v>19</v>
      </c>
      <c r="K87" s="3" t="s">
        <v>20</v>
      </c>
      <c r="L87" s="3" t="s">
        <v>21</v>
      </c>
      <c r="N87" s="1">
        <f t="shared" si="16"/>
        <v>0.53448275862068961</v>
      </c>
      <c r="O87" s="1">
        <f t="shared" si="17"/>
        <v>0.49523809523809526</v>
      </c>
      <c r="P87" s="1">
        <f t="shared" si="18"/>
        <v>0.41666666666666669</v>
      </c>
      <c r="Q87" s="1">
        <f t="shared" si="19"/>
        <v>0.78947368421052633</v>
      </c>
      <c r="R87" s="1">
        <f t="shared" si="20"/>
        <v>0.13414634146341464</v>
      </c>
      <c r="S87" s="1">
        <f t="shared" si="21"/>
        <v>0.6875</v>
      </c>
      <c r="T87" s="1">
        <f t="shared" si="22"/>
        <v>3.0575075461993926</v>
      </c>
      <c r="V87" s="1">
        <f>Sheet2!AB87^2</f>
        <v>0.89597781243082264</v>
      </c>
      <c r="W87" s="1">
        <f>Sheet2!AC87^2</f>
        <v>2.8557218821727488E-3</v>
      </c>
      <c r="X87" s="1">
        <f t="shared" si="23"/>
        <v>51.966713120987713</v>
      </c>
      <c r="Y87" s="1">
        <f t="shared" si="24"/>
        <v>0.16563186916601944</v>
      </c>
      <c r="Z87" s="1">
        <f t="shared" si="25"/>
        <v>693.03909999999996</v>
      </c>
      <c r="AA87" s="1">
        <f t="shared" si="26"/>
        <v>208.4636999999999</v>
      </c>
      <c r="AB87" s="1">
        <f t="shared" si="27"/>
        <v>0.2312402135633965</v>
      </c>
      <c r="AC87" s="1">
        <f t="shared" si="28"/>
        <v>0.76875978643660348</v>
      </c>
      <c r="AD87" s="1">
        <f>ABS(AB87 - Sheet2!AB87)</f>
        <v>0.71532083171092842</v>
      </c>
      <c r="AF87" s="15">
        <f t="shared" si="29"/>
        <v>2</v>
      </c>
      <c r="AG87" s="15">
        <f t="shared" si="30"/>
        <v>0</v>
      </c>
    </row>
    <row r="88" spans="1:33" x14ac:dyDescent="0.3">
      <c r="A88" s="2">
        <v>202210</v>
      </c>
      <c r="B88" s="6">
        <v>44842</v>
      </c>
      <c r="C88" s="3">
        <v>35</v>
      </c>
      <c r="D88" s="3">
        <v>61</v>
      </c>
      <c r="E88" s="3">
        <v>50</v>
      </c>
      <c r="F88" s="3">
        <v>17</v>
      </c>
      <c r="G88" s="3">
        <v>28</v>
      </c>
      <c r="H88" s="3">
        <v>25</v>
      </c>
      <c r="I88" s="3">
        <v>61</v>
      </c>
      <c r="J88" s="3" t="s">
        <v>19</v>
      </c>
      <c r="K88" s="3" t="s">
        <v>20</v>
      </c>
      <c r="L88" s="3" t="s">
        <v>24</v>
      </c>
      <c r="N88" s="1">
        <f t="shared" si="16"/>
        <v>0.13793103448275862</v>
      </c>
      <c r="O88" s="1">
        <f t="shared" si="17"/>
        <v>0.17142857142857143</v>
      </c>
      <c r="P88" s="1">
        <f t="shared" si="18"/>
        <v>0.41666666666666669</v>
      </c>
      <c r="Q88" s="1">
        <f t="shared" si="19"/>
        <v>0.42105263157894735</v>
      </c>
      <c r="R88" s="1">
        <f t="shared" si="20"/>
        <v>6.7073170731707321E-2</v>
      </c>
      <c r="S88" s="1">
        <f t="shared" si="21"/>
        <v>0.375</v>
      </c>
      <c r="T88" s="1">
        <f t="shared" si="22"/>
        <v>1.5891520748886514</v>
      </c>
      <c r="V88" s="1">
        <f>Sheet2!AB88^2</f>
        <v>0.39213814905749123</v>
      </c>
      <c r="W88" s="1">
        <f>Sheet2!AC88^2</f>
        <v>0.13971945060638422</v>
      </c>
      <c r="X88" s="1">
        <f t="shared" si="23"/>
        <v>13.724835217012194</v>
      </c>
      <c r="Y88" s="1">
        <f t="shared" si="24"/>
        <v>4.8901807712234477</v>
      </c>
      <c r="Z88" s="1">
        <f t="shared" si="25"/>
        <v>2839.2191000000003</v>
      </c>
      <c r="AA88" s="1">
        <f t="shared" si="26"/>
        <v>2183.6837000000005</v>
      </c>
      <c r="AB88" s="1">
        <f t="shared" si="27"/>
        <v>0.43474536278105963</v>
      </c>
      <c r="AC88" s="1">
        <f t="shared" si="28"/>
        <v>0.56525463721894043</v>
      </c>
      <c r="AD88" s="1">
        <f>ABS(AB88 - Sheet2!AB88)</f>
        <v>0.19146398644449386</v>
      </c>
      <c r="AF88" s="15">
        <f t="shared" si="29"/>
        <v>2</v>
      </c>
      <c r="AG88" s="15">
        <f t="shared" si="30"/>
        <v>0</v>
      </c>
    </row>
    <row r="89" spans="1:33" x14ac:dyDescent="0.3">
      <c r="A89" s="2">
        <v>202210</v>
      </c>
      <c r="B89" s="6">
        <v>44841</v>
      </c>
      <c r="C89" s="3">
        <v>51</v>
      </c>
      <c r="D89" s="3">
        <v>66</v>
      </c>
      <c r="E89" s="3">
        <v>53</v>
      </c>
      <c r="F89" s="3">
        <v>17</v>
      </c>
      <c r="G89" s="3">
        <v>35</v>
      </c>
      <c r="H89" s="3">
        <v>34</v>
      </c>
      <c r="I89" s="3">
        <v>66</v>
      </c>
      <c r="J89" s="3" t="s">
        <v>19</v>
      </c>
      <c r="K89" s="3" t="s">
        <v>20</v>
      </c>
      <c r="L89" s="3" t="s">
        <v>26</v>
      </c>
      <c r="N89" s="1">
        <f t="shared" si="16"/>
        <v>0.41379310344827586</v>
      </c>
      <c r="O89" s="1">
        <f t="shared" si="17"/>
        <v>0.21904761904761905</v>
      </c>
      <c r="P89" s="1">
        <f t="shared" si="18"/>
        <v>0.66666666666666663</v>
      </c>
      <c r="Q89" s="1">
        <f t="shared" si="19"/>
        <v>0.42105263157894735</v>
      </c>
      <c r="R89" s="1">
        <f t="shared" si="20"/>
        <v>0.10975609756097561</v>
      </c>
      <c r="S89" s="1">
        <f t="shared" si="21"/>
        <v>0.65625</v>
      </c>
      <c r="T89" s="1">
        <f t="shared" si="22"/>
        <v>2.4865661183024845</v>
      </c>
      <c r="V89" s="1">
        <f>Sheet2!AB89^2</f>
        <v>0.84333933762801161</v>
      </c>
      <c r="W89" s="1">
        <f>Sheet2!AC89^2</f>
        <v>6.6691575161749754E-3</v>
      </c>
      <c r="X89" s="1">
        <f t="shared" si="23"/>
        <v>43.010306219028593</v>
      </c>
      <c r="Y89" s="1">
        <f t="shared" si="24"/>
        <v>0.34012703332492372</v>
      </c>
      <c r="Z89" s="1">
        <f t="shared" si="25"/>
        <v>1617.8591000000004</v>
      </c>
      <c r="AA89" s="1">
        <f t="shared" si="26"/>
        <v>1104.5237000000002</v>
      </c>
      <c r="AB89" s="1">
        <f t="shared" si="27"/>
        <v>0.40571946751940985</v>
      </c>
      <c r="AC89" s="1">
        <f t="shared" si="28"/>
        <v>0.59428053248059021</v>
      </c>
      <c r="AD89" s="1">
        <f>ABS(AB89 - Sheet2!AB89)</f>
        <v>0.51261562253650839</v>
      </c>
      <c r="AF89" s="15">
        <f t="shared" si="29"/>
        <v>2</v>
      </c>
      <c r="AG89" s="15">
        <f t="shared" si="30"/>
        <v>0</v>
      </c>
    </row>
    <row r="90" spans="1:33" x14ac:dyDescent="0.3">
      <c r="A90" s="2">
        <v>202210</v>
      </c>
      <c r="B90" s="6">
        <v>44840</v>
      </c>
      <c r="C90" s="3">
        <v>61</v>
      </c>
      <c r="D90" s="3">
        <v>89</v>
      </c>
      <c r="E90" s="3">
        <v>51</v>
      </c>
      <c r="F90" s="3">
        <v>20</v>
      </c>
      <c r="G90" s="3">
        <v>39</v>
      </c>
      <c r="H90" s="3">
        <v>32</v>
      </c>
      <c r="I90" s="3">
        <v>89</v>
      </c>
      <c r="J90" s="3" t="s">
        <v>19</v>
      </c>
      <c r="K90" s="3" t="s">
        <v>20</v>
      </c>
      <c r="L90" s="3" t="s">
        <v>21</v>
      </c>
      <c r="N90" s="1">
        <f t="shared" si="16"/>
        <v>0.58620689655172409</v>
      </c>
      <c r="O90" s="1">
        <f t="shared" si="17"/>
        <v>0.43809523809523809</v>
      </c>
      <c r="P90" s="1">
        <f t="shared" si="18"/>
        <v>0.5</v>
      </c>
      <c r="Q90" s="1">
        <f t="shared" si="19"/>
        <v>0.57894736842105265</v>
      </c>
      <c r="R90" s="1">
        <f t="shared" si="20"/>
        <v>0.13414634146341464</v>
      </c>
      <c r="S90" s="1">
        <f t="shared" si="21"/>
        <v>0.59375</v>
      </c>
      <c r="T90" s="1">
        <f t="shared" si="22"/>
        <v>2.8311458445314295</v>
      </c>
      <c r="V90" s="1">
        <f>Sheet2!AB90^2</f>
        <v>0.988067777399252</v>
      </c>
      <c r="W90" s="1">
        <f>Sheet2!AC90^2</f>
        <v>3.5808441758600071E-5</v>
      </c>
      <c r="X90" s="1">
        <f t="shared" si="23"/>
        <v>60.272134421354373</v>
      </c>
      <c r="Y90" s="1">
        <f t="shared" si="24"/>
        <v>2.1843149472746044E-3</v>
      </c>
      <c r="Z90" s="1">
        <f t="shared" si="25"/>
        <v>640.03910000000008</v>
      </c>
      <c r="AA90" s="1">
        <f t="shared" si="26"/>
        <v>167.3237</v>
      </c>
      <c r="AB90" s="1">
        <f t="shared" si="27"/>
        <v>0.20724722516321037</v>
      </c>
      <c r="AC90" s="1">
        <f t="shared" si="28"/>
        <v>0.79275277483678963</v>
      </c>
      <c r="AD90" s="1">
        <f>ABS(AB90 - Sheet2!AB90)</f>
        <v>0.78676875931553636</v>
      </c>
      <c r="AF90" s="15">
        <f t="shared" si="29"/>
        <v>2</v>
      </c>
      <c r="AG90" s="15">
        <f t="shared" si="30"/>
        <v>0</v>
      </c>
    </row>
    <row r="91" spans="1:33" x14ac:dyDescent="0.3">
      <c r="A91" s="2">
        <v>202210</v>
      </c>
      <c r="B91" s="6">
        <v>44839</v>
      </c>
      <c r="C91" s="3">
        <v>51</v>
      </c>
      <c r="D91" s="3">
        <v>68</v>
      </c>
      <c r="E91" s="3">
        <v>50</v>
      </c>
      <c r="F91" s="3">
        <v>22</v>
      </c>
      <c r="G91" s="3">
        <v>36</v>
      </c>
      <c r="H91" s="3">
        <v>42</v>
      </c>
      <c r="I91" s="3">
        <v>68</v>
      </c>
      <c r="J91" s="3" t="s">
        <v>19</v>
      </c>
      <c r="K91" s="3" t="s">
        <v>20</v>
      </c>
      <c r="L91" s="3" t="s">
        <v>21</v>
      </c>
      <c r="N91" s="1">
        <f t="shared" si="16"/>
        <v>0.41379310344827586</v>
      </c>
      <c r="O91" s="1">
        <f t="shared" si="17"/>
        <v>0.23809523809523808</v>
      </c>
      <c r="P91" s="1">
        <f t="shared" si="18"/>
        <v>0.41666666666666669</v>
      </c>
      <c r="Q91" s="1">
        <f t="shared" si="19"/>
        <v>0.68421052631578949</v>
      </c>
      <c r="R91" s="1">
        <f t="shared" si="20"/>
        <v>0.11585365853658537</v>
      </c>
      <c r="S91" s="1">
        <f t="shared" si="21"/>
        <v>0.90625</v>
      </c>
      <c r="T91" s="1">
        <f t="shared" si="22"/>
        <v>2.774869193062556</v>
      </c>
      <c r="V91" s="1">
        <f>Sheet2!AB91^2</f>
        <v>0.80867786649911699</v>
      </c>
      <c r="W91" s="1">
        <f>Sheet2!AC91^2</f>
        <v>1.0147503676051401E-2</v>
      </c>
      <c r="X91" s="1">
        <f t="shared" si="23"/>
        <v>41.242571191454964</v>
      </c>
      <c r="Y91" s="1">
        <f t="shared" si="24"/>
        <v>0.5175226874786214</v>
      </c>
      <c r="Z91" s="1">
        <f t="shared" si="25"/>
        <v>1596.5391000000002</v>
      </c>
      <c r="AA91" s="1">
        <f t="shared" si="26"/>
        <v>1108.8037000000004</v>
      </c>
      <c r="AB91" s="1">
        <f t="shared" si="27"/>
        <v>0.4098570059217635</v>
      </c>
      <c r="AC91" s="1">
        <f t="shared" si="28"/>
        <v>0.59014299407823656</v>
      </c>
      <c r="AD91" s="1">
        <f>ABS(AB91 - Sheet2!AB91)</f>
        <v>0.48940817548976928</v>
      </c>
      <c r="AF91" s="15">
        <f t="shared" si="29"/>
        <v>2</v>
      </c>
      <c r="AG91" s="15">
        <f t="shared" si="30"/>
        <v>0</v>
      </c>
    </row>
    <row r="92" spans="1:33" x14ac:dyDescent="0.3">
      <c r="A92" s="2">
        <v>202210</v>
      </c>
      <c r="B92" s="6">
        <v>44838</v>
      </c>
      <c r="C92" s="3">
        <v>67</v>
      </c>
      <c r="D92" s="3">
        <v>98</v>
      </c>
      <c r="E92" s="3">
        <v>51</v>
      </c>
      <c r="F92" s="3">
        <v>15</v>
      </c>
      <c r="G92" s="3">
        <v>40</v>
      </c>
      <c r="H92" s="3">
        <v>33</v>
      </c>
      <c r="I92" s="3">
        <v>98</v>
      </c>
      <c r="J92" s="3" t="s">
        <v>19</v>
      </c>
      <c r="K92" s="3" t="s">
        <v>20</v>
      </c>
      <c r="L92" s="3" t="s">
        <v>21</v>
      </c>
      <c r="N92" s="1">
        <f t="shared" si="16"/>
        <v>0.68965517241379315</v>
      </c>
      <c r="O92" s="1">
        <f t="shared" si="17"/>
        <v>0.52380952380952384</v>
      </c>
      <c r="P92" s="1">
        <f t="shared" si="18"/>
        <v>0.5</v>
      </c>
      <c r="Q92" s="1">
        <f t="shared" si="19"/>
        <v>0.31578947368421051</v>
      </c>
      <c r="R92" s="1">
        <f t="shared" si="20"/>
        <v>0.1402439024390244</v>
      </c>
      <c r="S92" s="1">
        <f t="shared" si="21"/>
        <v>0.625</v>
      </c>
      <c r="T92" s="1">
        <f t="shared" si="22"/>
        <v>2.7944980723465518</v>
      </c>
      <c r="V92" s="1">
        <f>Sheet2!AB92^2</f>
        <v>0.92631232749389525</v>
      </c>
      <c r="W92" s="1">
        <f>Sheet2!AC92^2</f>
        <v>1.4099117918469929E-3</v>
      </c>
      <c r="X92" s="1">
        <f t="shared" si="23"/>
        <v>62.062925942090985</v>
      </c>
      <c r="Y92" s="1">
        <f t="shared" si="24"/>
        <v>9.4464090053748534E-2</v>
      </c>
      <c r="Z92" s="1">
        <f t="shared" si="25"/>
        <v>690.87909999999988</v>
      </c>
      <c r="AA92" s="1">
        <f t="shared" si="26"/>
        <v>215.56369999999987</v>
      </c>
      <c r="AB92" s="1">
        <f t="shared" si="27"/>
        <v>0.23781279966038665</v>
      </c>
      <c r="AC92" s="1">
        <f t="shared" si="28"/>
        <v>0.76218720033961329</v>
      </c>
      <c r="AD92" s="1">
        <f>ABS(AB92 - Sheet2!AB92)</f>
        <v>0.72463840819063741</v>
      </c>
      <c r="AF92" s="15">
        <f t="shared" si="29"/>
        <v>2</v>
      </c>
      <c r="AG92" s="15">
        <f t="shared" si="30"/>
        <v>0</v>
      </c>
    </row>
    <row r="93" spans="1:33" x14ac:dyDescent="0.3">
      <c r="A93" s="2">
        <v>202210</v>
      </c>
      <c r="B93" s="6">
        <v>44837</v>
      </c>
      <c r="C93" s="3">
        <v>56</v>
      </c>
      <c r="D93" s="3">
        <v>76</v>
      </c>
      <c r="E93" s="3">
        <v>51</v>
      </c>
      <c r="F93" s="3">
        <v>18</v>
      </c>
      <c r="G93" s="3">
        <v>38</v>
      </c>
      <c r="H93" s="3">
        <v>35</v>
      </c>
      <c r="I93" s="3">
        <v>76</v>
      </c>
      <c r="J93" s="3" t="s">
        <v>19</v>
      </c>
      <c r="K93" s="3" t="s">
        <v>20</v>
      </c>
      <c r="L93" s="3" t="s">
        <v>24</v>
      </c>
      <c r="N93" s="1">
        <f t="shared" si="16"/>
        <v>0.5</v>
      </c>
      <c r="O93" s="1">
        <f t="shared" si="17"/>
        <v>0.31428571428571428</v>
      </c>
      <c r="P93" s="1">
        <f t="shared" si="18"/>
        <v>0.5</v>
      </c>
      <c r="Q93" s="1">
        <f t="shared" si="19"/>
        <v>0.47368421052631576</v>
      </c>
      <c r="R93" s="1">
        <f t="shared" si="20"/>
        <v>0.12804878048780488</v>
      </c>
      <c r="S93" s="1">
        <f t="shared" si="21"/>
        <v>0.6875</v>
      </c>
      <c r="T93" s="1">
        <f t="shared" si="22"/>
        <v>2.6035187052998348</v>
      </c>
      <c r="V93" s="1">
        <f>Sheet2!AB93^2</f>
        <v>0.96049303938678099</v>
      </c>
      <c r="W93" s="1">
        <f>Sheet2!AC93^2</f>
        <v>3.9810353619215569E-4</v>
      </c>
      <c r="X93" s="1">
        <f t="shared" si="23"/>
        <v>53.787610205659732</v>
      </c>
      <c r="Y93" s="1">
        <f t="shared" si="24"/>
        <v>2.2293798026760719E-2</v>
      </c>
      <c r="Z93" s="1">
        <f t="shared" si="25"/>
        <v>969.21910000000014</v>
      </c>
      <c r="AA93" s="1">
        <f t="shared" si="26"/>
        <v>508.50370000000015</v>
      </c>
      <c r="AB93" s="1">
        <f t="shared" si="27"/>
        <v>0.34411305016069327</v>
      </c>
      <c r="AC93" s="1">
        <f t="shared" si="28"/>
        <v>0.65588694983930673</v>
      </c>
      <c r="AD93" s="1">
        <f>ABS(AB93 - Sheet2!AB93)</f>
        <v>0.63593441776460113</v>
      </c>
      <c r="AF93" s="15">
        <f t="shared" si="29"/>
        <v>2</v>
      </c>
      <c r="AG93" s="15">
        <f t="shared" si="30"/>
        <v>0</v>
      </c>
    </row>
    <row r="94" spans="1:33" x14ac:dyDescent="0.3">
      <c r="A94" s="2">
        <v>202210</v>
      </c>
      <c r="B94" s="6">
        <v>44836</v>
      </c>
      <c r="C94" s="3">
        <v>54</v>
      </c>
      <c r="D94" s="3">
        <v>79</v>
      </c>
      <c r="E94" s="3">
        <v>50</v>
      </c>
      <c r="F94" s="3">
        <v>12</v>
      </c>
      <c r="G94" s="3">
        <v>43</v>
      </c>
      <c r="H94" s="3">
        <v>19</v>
      </c>
      <c r="I94" s="3">
        <v>79</v>
      </c>
      <c r="J94" s="3" t="s">
        <v>19</v>
      </c>
      <c r="K94" s="3" t="s">
        <v>20</v>
      </c>
      <c r="L94" s="3" t="s">
        <v>21</v>
      </c>
      <c r="N94" s="1">
        <f t="shared" si="16"/>
        <v>0.46551724137931033</v>
      </c>
      <c r="O94" s="1">
        <f t="shared" si="17"/>
        <v>0.34285714285714286</v>
      </c>
      <c r="P94" s="1">
        <f t="shared" si="18"/>
        <v>0.41666666666666669</v>
      </c>
      <c r="Q94" s="1">
        <f t="shared" si="19"/>
        <v>0.15789473684210525</v>
      </c>
      <c r="R94" s="1">
        <f t="shared" si="20"/>
        <v>0.15853658536585366</v>
      </c>
      <c r="S94" s="1">
        <f t="shared" si="21"/>
        <v>0.1875</v>
      </c>
      <c r="T94" s="1">
        <f t="shared" si="22"/>
        <v>1.7289723731110789</v>
      </c>
      <c r="V94" s="1">
        <f>Sheet2!AB94^2</f>
        <v>0.42818936778876693</v>
      </c>
      <c r="W94" s="1">
        <f>Sheet2!AC94^2</f>
        <v>0.11946576398425554</v>
      </c>
      <c r="X94" s="1">
        <f t="shared" si="23"/>
        <v>23.122225860593414</v>
      </c>
      <c r="Y94" s="1">
        <f t="shared" si="24"/>
        <v>6.4511512551497994</v>
      </c>
      <c r="Z94" s="1">
        <f t="shared" si="25"/>
        <v>760.31910000000016</v>
      </c>
      <c r="AA94" s="1">
        <f t="shared" si="26"/>
        <v>434.46370000000013</v>
      </c>
      <c r="AB94" s="1">
        <f t="shared" si="27"/>
        <v>0.36363404294069185</v>
      </c>
      <c r="AC94" s="1">
        <f t="shared" si="28"/>
        <v>0.6363659570593081</v>
      </c>
      <c r="AD94" s="1">
        <f>ABS(AB94 - Sheet2!AB94)</f>
        <v>0.29072775896156383</v>
      </c>
      <c r="AF94" s="15">
        <f t="shared" si="29"/>
        <v>2</v>
      </c>
      <c r="AG94" s="15">
        <f t="shared" si="30"/>
        <v>0</v>
      </c>
    </row>
    <row r="95" spans="1:33" ht="27.6" x14ac:dyDescent="0.3">
      <c r="A95" s="2">
        <v>202210</v>
      </c>
      <c r="B95" s="6">
        <v>44835</v>
      </c>
      <c r="C95" s="3">
        <v>80</v>
      </c>
      <c r="D95" s="3">
        <v>128</v>
      </c>
      <c r="E95" s="3">
        <v>52</v>
      </c>
      <c r="F95" s="3">
        <v>14</v>
      </c>
      <c r="G95" s="3">
        <v>39</v>
      </c>
      <c r="H95" s="3">
        <v>21</v>
      </c>
      <c r="I95" s="3">
        <v>128</v>
      </c>
      <c r="J95" s="3" t="s">
        <v>19</v>
      </c>
      <c r="K95" s="3" t="s">
        <v>22</v>
      </c>
      <c r="L95" s="3" t="s">
        <v>21</v>
      </c>
      <c r="N95" s="1">
        <f t="shared" si="16"/>
        <v>0.91379310344827591</v>
      </c>
      <c r="O95" s="1">
        <f t="shared" si="17"/>
        <v>0.80952380952380953</v>
      </c>
      <c r="P95" s="1">
        <f t="shared" si="18"/>
        <v>0.58333333333333337</v>
      </c>
      <c r="Q95" s="1">
        <f t="shared" si="19"/>
        <v>0.26315789473684209</v>
      </c>
      <c r="R95" s="1">
        <f t="shared" si="20"/>
        <v>0.13414634146341464</v>
      </c>
      <c r="S95" s="1">
        <f t="shared" si="21"/>
        <v>0.25</v>
      </c>
      <c r="T95" s="1">
        <f t="shared" si="22"/>
        <v>2.9539544825056758</v>
      </c>
      <c r="V95" s="1">
        <f>Sheet2!AB95^2</f>
        <v>0.65841458730166802</v>
      </c>
      <c r="W95" s="1">
        <f>Sheet2!AC95^2</f>
        <v>3.555958786189304E-2</v>
      </c>
      <c r="X95" s="1">
        <f t="shared" si="23"/>
        <v>52.673166984133445</v>
      </c>
      <c r="Y95" s="1">
        <f t="shared" si="24"/>
        <v>2.8447670289514431</v>
      </c>
      <c r="Z95" s="1">
        <f t="shared" si="25"/>
        <v>2429.5790999999995</v>
      </c>
      <c r="AA95" s="1">
        <f t="shared" si="26"/>
        <v>1838.9036999999992</v>
      </c>
      <c r="AB95" s="1">
        <f t="shared" si="27"/>
        <v>0.43080967785556024</v>
      </c>
      <c r="AC95" s="1">
        <f t="shared" si="28"/>
        <v>0.56919032214443976</v>
      </c>
      <c r="AD95" s="1">
        <f>ABS(AB95 - Sheet2!AB95)</f>
        <v>0.38061782186432724</v>
      </c>
      <c r="AF95" s="15">
        <f t="shared" si="29"/>
        <v>2</v>
      </c>
      <c r="AG95" s="15">
        <f t="shared" si="30"/>
        <v>1</v>
      </c>
    </row>
    <row r="96" spans="1:33" x14ac:dyDescent="0.3">
      <c r="A96" s="2">
        <v>202210</v>
      </c>
      <c r="B96" s="6">
        <v>44861</v>
      </c>
      <c r="C96" s="3">
        <v>41</v>
      </c>
      <c r="D96" s="3">
        <v>66</v>
      </c>
      <c r="E96" s="3">
        <v>51</v>
      </c>
      <c r="F96" s="3">
        <v>18</v>
      </c>
      <c r="G96" s="3">
        <v>35</v>
      </c>
      <c r="H96" s="3">
        <v>27</v>
      </c>
      <c r="I96" s="3">
        <v>66</v>
      </c>
      <c r="J96" s="3" t="s">
        <v>19</v>
      </c>
      <c r="K96" s="3" t="s">
        <v>20</v>
      </c>
      <c r="L96" s="3" t="s">
        <v>21</v>
      </c>
      <c r="N96" s="1">
        <f t="shared" si="16"/>
        <v>0.2413793103448276</v>
      </c>
      <c r="O96" s="1">
        <f t="shared" si="17"/>
        <v>0.21904761904761905</v>
      </c>
      <c r="P96" s="1">
        <f t="shared" si="18"/>
        <v>0.5</v>
      </c>
      <c r="Q96" s="1">
        <f t="shared" si="19"/>
        <v>0.47368421052631576</v>
      </c>
      <c r="R96" s="1">
        <f t="shared" si="20"/>
        <v>0.10975609756097561</v>
      </c>
      <c r="S96" s="1">
        <f t="shared" si="21"/>
        <v>0.4375</v>
      </c>
      <c r="T96" s="1">
        <f t="shared" si="22"/>
        <v>1.9813672374797382</v>
      </c>
      <c r="V96" s="1">
        <f>Sheet2!AB96^2</f>
        <v>0.65659005445772656</v>
      </c>
      <c r="W96" s="1">
        <f>Sheet2!AC96^2</f>
        <v>3.5985161884923601E-2</v>
      </c>
      <c r="X96" s="1">
        <f t="shared" si="23"/>
        <v>26.920192232766787</v>
      </c>
      <c r="Y96" s="1">
        <f t="shared" si="24"/>
        <v>1.4753916372818676</v>
      </c>
      <c r="Z96" s="1">
        <f t="shared" si="25"/>
        <v>1842.8791000000001</v>
      </c>
      <c r="AA96" s="1">
        <f t="shared" si="26"/>
        <v>1347.4437000000005</v>
      </c>
      <c r="AB96" s="1">
        <f t="shared" si="27"/>
        <v>0.42235340574314306</v>
      </c>
      <c r="AC96" s="1">
        <f t="shared" si="28"/>
        <v>0.57764659425685694</v>
      </c>
      <c r="AD96" s="1">
        <f>ABS(AB96 - Sheet2!AB96)</f>
        <v>0.38794904054325841</v>
      </c>
      <c r="AF96" s="15">
        <f t="shared" si="29"/>
        <v>2</v>
      </c>
      <c r="AG96" s="15">
        <f t="shared" si="30"/>
        <v>0</v>
      </c>
    </row>
    <row r="97" spans="1:33" x14ac:dyDescent="0.3">
      <c r="A97" s="2">
        <v>202210</v>
      </c>
      <c r="B97" s="6">
        <v>44862</v>
      </c>
      <c r="C97" s="3">
        <v>54</v>
      </c>
      <c r="D97" s="3">
        <v>77</v>
      </c>
      <c r="E97" s="3">
        <v>51</v>
      </c>
      <c r="F97" s="3">
        <v>16</v>
      </c>
      <c r="G97" s="3">
        <v>33</v>
      </c>
      <c r="H97" s="3">
        <v>32</v>
      </c>
      <c r="I97" s="3">
        <v>77</v>
      </c>
      <c r="J97" s="3" t="s">
        <v>19</v>
      </c>
      <c r="K97" s="3" t="s">
        <v>20</v>
      </c>
      <c r="L97" s="3" t="s">
        <v>21</v>
      </c>
      <c r="N97" s="1">
        <f t="shared" si="16"/>
        <v>0.46551724137931033</v>
      </c>
      <c r="O97" s="1">
        <f t="shared" si="17"/>
        <v>0.32380952380952382</v>
      </c>
      <c r="P97" s="1">
        <f t="shared" si="18"/>
        <v>0.5</v>
      </c>
      <c r="Q97" s="1">
        <f t="shared" si="19"/>
        <v>0.36842105263157893</v>
      </c>
      <c r="R97" s="1">
        <f t="shared" si="20"/>
        <v>9.7560975609756101E-2</v>
      </c>
      <c r="S97" s="1">
        <f t="shared" si="21"/>
        <v>0.59375</v>
      </c>
      <c r="T97" s="1">
        <f t="shared" si="22"/>
        <v>2.349058793430169</v>
      </c>
      <c r="V97" s="1">
        <f>Sheet2!AB97^2</f>
        <v>0.922621518495925</v>
      </c>
      <c r="W97" s="1">
        <f>Sheet2!AC97^2</f>
        <v>1.5577314280150662E-3</v>
      </c>
      <c r="X97" s="1">
        <f t="shared" si="23"/>
        <v>49.821561998779949</v>
      </c>
      <c r="Y97" s="1">
        <f t="shared" si="24"/>
        <v>8.4117497112813577E-2</v>
      </c>
      <c r="Z97" s="1">
        <f t="shared" si="25"/>
        <v>1213.6591000000001</v>
      </c>
      <c r="AA97" s="1">
        <f t="shared" si="26"/>
        <v>623.18370000000004</v>
      </c>
      <c r="AB97" s="1">
        <f t="shared" si="27"/>
        <v>0.33926893471776681</v>
      </c>
      <c r="AC97" s="1">
        <f t="shared" si="28"/>
        <v>0.66073106528223313</v>
      </c>
      <c r="AD97" s="1">
        <f>ABS(AB97 - Sheet2!AB97)</f>
        <v>0.6212629588161882</v>
      </c>
      <c r="AF97" s="15">
        <f t="shared" si="29"/>
        <v>2</v>
      </c>
      <c r="AG97" s="15">
        <f t="shared" si="30"/>
        <v>0</v>
      </c>
    </row>
    <row r="98" spans="1:33" x14ac:dyDescent="0.3">
      <c r="A98" s="2">
        <v>202210</v>
      </c>
      <c r="B98" s="6">
        <v>44863</v>
      </c>
      <c r="C98" s="3">
        <v>53</v>
      </c>
      <c r="D98" s="3">
        <v>86</v>
      </c>
      <c r="E98" s="3">
        <v>51</v>
      </c>
      <c r="F98" s="3">
        <v>15</v>
      </c>
      <c r="G98" s="3">
        <v>41</v>
      </c>
      <c r="H98" s="3">
        <v>29</v>
      </c>
      <c r="I98" s="3">
        <v>86</v>
      </c>
      <c r="J98" s="3" t="s">
        <v>19</v>
      </c>
      <c r="K98" s="3" t="s">
        <v>20</v>
      </c>
      <c r="L98" s="3" t="s">
        <v>21</v>
      </c>
      <c r="N98" s="1">
        <f t="shared" si="16"/>
        <v>0.44827586206896552</v>
      </c>
      <c r="O98" s="1">
        <f t="shared" si="17"/>
        <v>0.40952380952380951</v>
      </c>
      <c r="P98" s="1">
        <f>(E98-MIN(E$2:E$99))/(MAX(E$2:E$99)-MIN(E$2:E$99))</f>
        <v>0.5</v>
      </c>
      <c r="Q98" s="1">
        <f t="shared" si="19"/>
        <v>0.31578947368421051</v>
      </c>
      <c r="R98" s="1">
        <f t="shared" si="20"/>
        <v>0.14634146341463414</v>
      </c>
      <c r="S98" s="1">
        <f t="shared" si="21"/>
        <v>0.5</v>
      </c>
      <c r="T98" s="1">
        <f t="shared" si="22"/>
        <v>2.31993060869162</v>
      </c>
      <c r="V98" s="1">
        <f>Sheet2!AB98^2</f>
        <v>0.88851372765076986</v>
      </c>
      <c r="W98" s="1">
        <f>Sheet2!AC98^2</f>
        <v>3.2936050647946365E-3</v>
      </c>
      <c r="X98" s="1">
        <f t="shared" si="23"/>
        <v>47.091227565490804</v>
      </c>
      <c r="Y98" s="1">
        <f t="shared" si="24"/>
        <v>0.17456106843411573</v>
      </c>
      <c r="Z98" s="1">
        <f t="shared" si="25"/>
        <v>609.55910000000006</v>
      </c>
      <c r="AA98" s="1">
        <f t="shared" si="26"/>
        <v>206.76370000000003</v>
      </c>
      <c r="AB98" s="1">
        <f t="shared" si="27"/>
        <v>0.2532866900201734</v>
      </c>
      <c r="AC98" s="1">
        <f t="shared" si="28"/>
        <v>0.74671330997982666</v>
      </c>
      <c r="AD98" s="1">
        <f>ABS(AB98 - Sheet2!AB98)</f>
        <v>0.68932337127281418</v>
      </c>
      <c r="AF98" s="15">
        <f t="shared" si="29"/>
        <v>2</v>
      </c>
      <c r="AG98" s="15">
        <f t="shared" si="30"/>
        <v>0</v>
      </c>
    </row>
    <row r="99" spans="1:33" x14ac:dyDescent="0.3">
      <c r="V99" s="1"/>
      <c r="W99" s="1"/>
      <c r="X99" s="1"/>
      <c r="Y99" s="1"/>
      <c r="Z99" s="1"/>
      <c r="AA99" s="1"/>
      <c r="AB99" s="1"/>
      <c r="AC99" s="1"/>
      <c r="AD99" s="1">
        <f>(SUMSQ(AB2:AB99) + SUMSQ(AC2:AC99)) / 98</f>
        <v>0.54131406628268874</v>
      </c>
      <c r="AF99" s="15">
        <f t="shared" si="29"/>
        <v>2</v>
      </c>
      <c r="AG99" s="15">
        <f t="shared" si="30"/>
        <v>0</v>
      </c>
    </row>
    <row r="100" spans="1:33" x14ac:dyDescent="0.3">
      <c r="AF100" s="15"/>
      <c r="AG100" s="15"/>
    </row>
    <row r="101" spans="1:33" x14ac:dyDescent="0.3">
      <c r="AF101" s="15"/>
      <c r="AG101" s="15">
        <f>SUM(AG2:AG99) / 98</f>
        <v>0.30612244897959184</v>
      </c>
    </row>
  </sheetData>
  <conditionalFormatting sqref="AD2:AD9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:AF99">
    <cfRule type="cellIs" dxfId="5" priority="2" operator="equal">
      <formula>2</formula>
    </cfRule>
    <cfRule type="cellIs" dxfId="4" priority="3" operator="equal">
      <formula>1</formula>
    </cfRule>
  </conditionalFormatting>
  <conditionalFormatting sqref="AG2:AG9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{71BD80D8-A79A-408C-A7A5-D57371EFC1AF}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BD80D8-A79A-408C-A7A5-D57371EFC1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AG2:AG99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F544-C3EE-4432-99C6-F0AE2B4CFEAF}">
  <sheetPr>
    <tabColor rgb="FF7030A0"/>
  </sheetPr>
  <dimension ref="A1:AG101"/>
  <sheetViews>
    <sheetView showGridLines="0" topLeftCell="A32" zoomScale="51" workbookViewId="0">
      <selection activeCell="AE5" sqref="AE5"/>
    </sheetView>
  </sheetViews>
  <sheetFormatPr defaultRowHeight="14.4" x14ac:dyDescent="0.3"/>
  <cols>
    <col min="1" max="1" width="11.5546875" customWidth="1"/>
    <col min="2" max="2" width="10.77734375" customWidth="1"/>
    <col min="3" max="3" width="6.77734375" customWidth="1"/>
    <col min="4" max="4" width="20.88671875" customWidth="1"/>
    <col min="5" max="5" width="3.88671875" customWidth="1"/>
    <col min="6" max="6" width="3.5546875" customWidth="1"/>
    <col min="7" max="7" width="9" customWidth="1"/>
    <col min="8" max="8" width="4.109375" customWidth="1"/>
    <col min="9" max="9" width="4.6640625" bestFit="1" customWidth="1"/>
    <col min="10" max="10" width="6.6640625" bestFit="1" customWidth="1"/>
    <col min="11" max="11" width="7.44140625" customWidth="1"/>
    <col min="12" max="12" width="11.109375" bestFit="1" customWidth="1"/>
    <col min="14" max="18" width="12.21875" bestFit="1" customWidth="1"/>
    <col min="19" max="19" width="8.33203125" bestFit="1" customWidth="1"/>
    <col min="20" max="20" width="12.21875" bestFit="1" customWidth="1"/>
    <col min="22" max="22" width="12.21875" customWidth="1"/>
    <col min="23" max="25" width="12.21875" bestFit="1" customWidth="1"/>
    <col min="26" max="26" width="11.77734375" customWidth="1"/>
    <col min="27" max="27" width="10.21875" bestFit="1" customWidth="1"/>
    <col min="28" max="29" width="12.21875" bestFit="1" customWidth="1"/>
    <col min="30" max="30" width="12.21875" customWidth="1"/>
    <col min="33" max="33" width="13.33203125" bestFit="1" customWidth="1"/>
  </cols>
  <sheetData>
    <row r="1" spans="1:33" x14ac:dyDescent="0.3">
      <c r="A1" s="20" t="s">
        <v>0</v>
      </c>
      <c r="B1" s="20" t="s">
        <v>1</v>
      </c>
      <c r="C1" s="20" t="s">
        <v>2</v>
      </c>
      <c r="D1" s="20" t="s">
        <v>48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V1" s="20" t="s">
        <v>28</v>
      </c>
      <c r="W1" s="20" t="s">
        <v>29</v>
      </c>
      <c r="X1" s="20" t="s">
        <v>30</v>
      </c>
      <c r="Y1" s="20" t="s">
        <v>31</v>
      </c>
      <c r="Z1" s="20" t="s">
        <v>32</v>
      </c>
      <c r="AA1" s="20" t="s">
        <v>33</v>
      </c>
      <c r="AB1" s="20" t="s">
        <v>34</v>
      </c>
      <c r="AC1" s="20" t="s">
        <v>47</v>
      </c>
      <c r="AD1" s="20" t="s">
        <v>35</v>
      </c>
      <c r="AF1" s="20" t="s">
        <v>36</v>
      </c>
      <c r="AG1" s="20" t="s">
        <v>37</v>
      </c>
    </row>
    <row r="2" spans="1:33" x14ac:dyDescent="0.3">
      <c r="A2" s="2">
        <v>202212</v>
      </c>
      <c r="B2" s="3">
        <v>44926.625</v>
      </c>
      <c r="C2" s="3">
        <v>54</v>
      </c>
      <c r="D2" s="3">
        <v>73</v>
      </c>
      <c r="E2" s="3">
        <v>56</v>
      </c>
      <c r="F2" s="3">
        <v>24</v>
      </c>
      <c r="G2" s="3">
        <v>23</v>
      </c>
      <c r="H2" s="3">
        <v>24</v>
      </c>
      <c r="I2" s="3">
        <v>73</v>
      </c>
      <c r="J2" s="3" t="s">
        <v>19</v>
      </c>
      <c r="K2" s="3" t="s">
        <v>20</v>
      </c>
      <c r="L2" s="3" t="s">
        <v>21</v>
      </c>
      <c r="N2" s="1">
        <f t="shared" ref="N2:S2" si="0">(C2-MIN(C$2:C$99))/(MAX(C$2:C$99)-MIN(C$2:C$99))</f>
        <v>0.46551724137931033</v>
      </c>
      <c r="O2" s="1">
        <f t="shared" si="0"/>
        <v>0.2857142857142857</v>
      </c>
      <c r="P2" s="1">
        <f t="shared" si="0"/>
        <v>0.91666666666666663</v>
      </c>
      <c r="Q2" s="1">
        <f t="shared" si="0"/>
        <v>0.78947368421052633</v>
      </c>
      <c r="R2" s="1">
        <f t="shared" si="0"/>
        <v>3.6585365853658534E-2</v>
      </c>
      <c r="S2" s="1">
        <f t="shared" si="0"/>
        <v>0.34375</v>
      </c>
      <c r="T2" s="1">
        <f>SUM(N2:S2)</f>
        <v>2.8377072438244473</v>
      </c>
      <c r="V2" s="1">
        <f>Sheet3!AB2^2</f>
        <v>0.14200424295948325</v>
      </c>
      <c r="W2" s="1">
        <f>Sheet3!AC2^2</f>
        <v>0.38833523614154797</v>
      </c>
      <c r="X2" s="1">
        <f>V2 * C2</f>
        <v>7.6682291198120955</v>
      </c>
      <c r="Y2" s="1">
        <f>W2 * C2</f>
        <v>20.970102751643591</v>
      </c>
      <c r="Z2" s="1">
        <f>(C2 - 63.12)^2 + (D2 - 93.55)^2 + (E2 - 50.11)^2 + (F2 - 16.32)^2 + (G2 - 56.48)^2 + (H2 - 26.71)^2</f>
        <v>1727.4058999999995</v>
      </c>
      <c r="AA2" s="1">
        <f>(C2 - 70.45)^2 + (D2 - 109.21)^2 + (E2 - 49.52)^2 + (F2 - 17.48)^2 + (G2 - 89.33)^2 + (H2 - 26.12)^2</f>
        <v>6070.430699999999</v>
      </c>
      <c r="AB2" s="1">
        <f>(1/Z2) / ((1/Z2) + (1/AA2))</f>
        <v>0.77847626353186217</v>
      </c>
      <c r="AC2" s="1">
        <f>1 - AB2</f>
        <v>0.22152373646813783</v>
      </c>
      <c r="AD2" s="1">
        <f>ABS(AB2 - Sheet3!AB2)</f>
        <v>0.40164176012289454</v>
      </c>
      <c r="AF2" s="15">
        <f>IF(AB2 &gt; AC2, 1, 2)</f>
        <v>1</v>
      </c>
      <c r="AG2" s="15">
        <f>IF(OR(AND(AF2=1, K2="SEDANG"), AND(AF2=2, K2="TIDAK SEHAT")), 1, 0)</f>
        <v>1</v>
      </c>
    </row>
    <row r="3" spans="1:33" x14ac:dyDescent="0.3">
      <c r="A3" s="2">
        <v>202212</v>
      </c>
      <c r="B3" s="6">
        <v>44925</v>
      </c>
      <c r="C3" s="3">
        <v>40</v>
      </c>
      <c r="D3" s="3">
        <v>64</v>
      </c>
      <c r="E3" s="3">
        <v>57</v>
      </c>
      <c r="F3" s="3">
        <v>21</v>
      </c>
      <c r="G3" s="3">
        <v>17</v>
      </c>
      <c r="H3" s="3">
        <v>24</v>
      </c>
      <c r="I3" s="3">
        <v>64</v>
      </c>
      <c r="J3" s="3" t="s">
        <v>19</v>
      </c>
      <c r="K3" s="3" t="s">
        <v>20</v>
      </c>
      <c r="L3" s="3" t="s">
        <v>21</v>
      </c>
      <c r="N3" s="1">
        <f t="shared" ref="N3:N66" si="1">(C3-MIN(C$2:C$99))/(MAX(C$2:C$99)-MIN(C$2:C$99))</f>
        <v>0.22413793103448276</v>
      </c>
      <c r="O3" s="1">
        <f t="shared" ref="O3:O66" si="2">(D3-MIN(D$2:D$99))/(MAX(D$2:D$99)-MIN(D$2:D$99))</f>
        <v>0.2</v>
      </c>
      <c r="P3" s="1">
        <f t="shared" ref="P3:P66" si="3">(E3-MIN(E$2:E$99))/(MAX(E$2:E$99)-MIN(E$2:E$99))</f>
        <v>1</v>
      </c>
      <c r="Q3" s="1">
        <f t="shared" ref="Q3:Q66" si="4">(F3-MIN(F$2:F$99))/(MAX(F$2:F$99)-MIN(F$2:F$99))</f>
        <v>0.63157894736842102</v>
      </c>
      <c r="R3" s="1">
        <f t="shared" ref="R3:R66" si="5">(G3-MIN(G$2:G$99))/(MAX(G$2:G$99)-MIN(G$2:G$99))</f>
        <v>0</v>
      </c>
      <c r="S3" s="1">
        <f t="shared" ref="S3:S66" si="6">(H3-MIN(H$2:H$99))/(MAX(H$2:H$99)-MIN(H$2:H$99))</f>
        <v>0.34375</v>
      </c>
      <c r="T3" s="1">
        <f t="shared" ref="T3:T66" si="7">SUM(N3:S3)</f>
        <v>2.3994668784029036</v>
      </c>
      <c r="V3" s="1">
        <f>Sheet3!AB3^2</f>
        <v>0.17431970671333916</v>
      </c>
      <c r="W3" s="1">
        <f>Sheet3!AC3^2</f>
        <v>0.33928747568668188</v>
      </c>
      <c r="X3" s="1">
        <f t="shared" ref="X3:X66" si="8">V3 * C3</f>
        <v>6.9727882685335665</v>
      </c>
      <c r="Y3" s="1">
        <f t="shared" ref="Y3:Y7" si="9">W3 * C3</f>
        <v>13.571499027467276</v>
      </c>
      <c r="Z3" s="1">
        <f t="shared" ref="Z3:Z66" si="10">(C3 - 63.12)^2 + (D3 - 93.55)^2 + (E3 - 50.11)^2 + (F3 - 16.32)^2 + (G3 - 56.48)^2 + (H3 - 26.71)^2</f>
        <v>3043.1258999999995</v>
      </c>
      <c r="AA3" s="1">
        <f t="shared" ref="AA3:AA66" si="11">(C3 - 70.45)^2 + (D3 - 109.21)^2 + (E3 - 49.52)^2 + (F3 - 17.48)^2 + (G3 - 89.33)^2 + (H3 - 26.12)^2</f>
        <v>8275.6106999999993</v>
      </c>
      <c r="AB3" s="1">
        <f t="shared" ref="AB3:AB14" si="12">(1/Z3) / ((1/Z3) + (1/AA3))</f>
        <v>0.73114261710092276</v>
      </c>
      <c r="AC3" s="1">
        <f t="shared" ref="AC3:AC11" si="13">1 - AB3</f>
        <v>0.26885738289907724</v>
      </c>
      <c r="AD3" s="1">
        <f>ABS(AB3 - Sheet3!AB3)</f>
        <v>0.31362650158759414</v>
      </c>
      <c r="AF3" s="15">
        <f t="shared" ref="AF3:AF66" si="14">IF(AB3 &gt; AC3, 1, 2)</f>
        <v>1</v>
      </c>
      <c r="AG3" s="15">
        <f t="shared" ref="AG3:AG14" si="15">IF(OR(AND(AF3=1, K3="SEDANG"), AND(AF3=2, K3="TIDAK SEHAT")), 1, 0)</f>
        <v>1</v>
      </c>
    </row>
    <row r="4" spans="1:33" ht="27.6" x14ac:dyDescent="0.3">
      <c r="A4" s="2">
        <v>202207</v>
      </c>
      <c r="B4" s="6">
        <v>44748</v>
      </c>
      <c r="C4" s="3">
        <v>75</v>
      </c>
      <c r="D4" s="3">
        <v>129</v>
      </c>
      <c r="E4" s="3">
        <v>45</v>
      </c>
      <c r="F4" s="3">
        <v>25</v>
      </c>
      <c r="G4" s="3">
        <v>71</v>
      </c>
      <c r="H4" s="3">
        <v>26</v>
      </c>
      <c r="I4" s="3">
        <v>129</v>
      </c>
      <c r="J4" s="3" t="s">
        <v>19</v>
      </c>
      <c r="K4" s="3" t="s">
        <v>22</v>
      </c>
      <c r="L4" s="3" t="s">
        <v>21</v>
      </c>
      <c r="N4" s="1">
        <f t="shared" si="1"/>
        <v>0.82758620689655171</v>
      </c>
      <c r="O4" s="1">
        <f t="shared" si="2"/>
        <v>0.81904761904761902</v>
      </c>
      <c r="P4" s="1">
        <f t="shared" si="3"/>
        <v>0</v>
      </c>
      <c r="Q4" s="1">
        <f t="shared" si="4"/>
        <v>0.84210526315789469</v>
      </c>
      <c r="R4" s="1">
        <f t="shared" si="5"/>
        <v>0.32926829268292684</v>
      </c>
      <c r="S4" s="1">
        <f t="shared" si="6"/>
        <v>0.40625</v>
      </c>
      <c r="T4" s="1">
        <f t="shared" si="7"/>
        <v>3.2242573817849922</v>
      </c>
      <c r="V4" s="1">
        <f>Sheet3!AB4^2</f>
        <v>0.28660879671092948</v>
      </c>
      <c r="W4" s="1">
        <f>Sheet3!AC4^2</f>
        <v>0.21589166000127641</v>
      </c>
      <c r="X4" s="1">
        <f t="shared" si="8"/>
        <v>21.49565975331971</v>
      </c>
      <c r="Y4" s="1">
        <f t="shared" si="9"/>
        <v>16.191874500095732</v>
      </c>
      <c r="Z4" s="1">
        <f t="shared" si="10"/>
        <v>1710.6259000000005</v>
      </c>
      <c r="AA4" s="1">
        <f t="shared" si="11"/>
        <v>825.33070000000021</v>
      </c>
      <c r="AB4" s="1">
        <f t="shared" si="12"/>
        <v>0.32545142925553222</v>
      </c>
      <c r="AC4" s="1">
        <f t="shared" si="13"/>
        <v>0.67454857074446783</v>
      </c>
      <c r="AD4" s="1">
        <f>ABS(AB4 - Sheet3!AB4)</f>
        <v>0.20990713909929432</v>
      </c>
      <c r="AF4" s="15">
        <f t="shared" si="14"/>
        <v>2</v>
      </c>
      <c r="AG4" s="15">
        <f t="shared" si="15"/>
        <v>1</v>
      </c>
    </row>
    <row r="5" spans="1:33" ht="27.6" x14ac:dyDescent="0.3">
      <c r="A5" s="2">
        <v>202207</v>
      </c>
      <c r="B5" s="6">
        <v>44747</v>
      </c>
      <c r="C5" s="3">
        <v>66</v>
      </c>
      <c r="D5" s="3">
        <v>110</v>
      </c>
      <c r="E5" s="3">
        <v>47</v>
      </c>
      <c r="F5" s="3">
        <v>16</v>
      </c>
      <c r="G5" s="3">
        <v>61</v>
      </c>
      <c r="H5" s="3">
        <v>23</v>
      </c>
      <c r="I5" s="3">
        <v>110</v>
      </c>
      <c r="J5" s="3" t="s">
        <v>19</v>
      </c>
      <c r="K5" s="3" t="s">
        <v>22</v>
      </c>
      <c r="L5" s="3" t="s">
        <v>21</v>
      </c>
      <c r="N5" s="1">
        <f t="shared" si="1"/>
        <v>0.67241379310344829</v>
      </c>
      <c r="O5" s="1">
        <f t="shared" si="2"/>
        <v>0.63809523809523805</v>
      </c>
      <c r="P5" s="1">
        <f t="shared" si="3"/>
        <v>0.16666666666666666</v>
      </c>
      <c r="Q5" s="1">
        <f t="shared" si="4"/>
        <v>0.36842105263157893</v>
      </c>
      <c r="R5" s="1">
        <f t="shared" si="5"/>
        <v>0.26829268292682928</v>
      </c>
      <c r="S5" s="1">
        <f t="shared" si="6"/>
        <v>0.3125</v>
      </c>
      <c r="T5" s="1">
        <f t="shared" si="7"/>
        <v>2.4263894334237612</v>
      </c>
      <c r="V5" s="1">
        <f>Sheet3!AB5^2</f>
        <v>0.28363461345461166</v>
      </c>
      <c r="W5" s="1">
        <f>Sheet3!AC5^2</f>
        <v>0.21848746220345866</v>
      </c>
      <c r="X5" s="1">
        <f t="shared" si="8"/>
        <v>18.719884488004368</v>
      </c>
      <c r="Y5" s="1">
        <f t="shared" si="9"/>
        <v>14.420172505428271</v>
      </c>
      <c r="Z5" s="1">
        <f t="shared" si="10"/>
        <v>322.86590000000007</v>
      </c>
      <c r="AA5" s="1">
        <f t="shared" si="11"/>
        <v>841.2906999999999</v>
      </c>
      <c r="AB5" s="1">
        <f t="shared" si="12"/>
        <v>0.7226611093387264</v>
      </c>
      <c r="AC5" s="1">
        <f t="shared" si="13"/>
        <v>0.2773388906612736</v>
      </c>
      <c r="AD5" s="1">
        <f>ABS(AB5 - Sheet3!AB5)</f>
        <v>0.1900875337131499</v>
      </c>
      <c r="AF5" s="15">
        <f t="shared" si="14"/>
        <v>1</v>
      </c>
      <c r="AG5" s="15">
        <f t="shared" si="15"/>
        <v>0</v>
      </c>
    </row>
    <row r="6" spans="1:33" x14ac:dyDescent="0.3">
      <c r="A6" s="2">
        <v>202207</v>
      </c>
      <c r="B6" s="6">
        <v>44746</v>
      </c>
      <c r="C6" s="3">
        <v>56</v>
      </c>
      <c r="D6" s="3">
        <v>78</v>
      </c>
      <c r="E6" s="3">
        <v>49</v>
      </c>
      <c r="F6" s="3">
        <v>11</v>
      </c>
      <c r="G6" s="3">
        <v>60</v>
      </c>
      <c r="H6" s="3">
        <v>13</v>
      </c>
      <c r="I6" s="3">
        <v>78</v>
      </c>
      <c r="J6" s="3" t="s">
        <v>19</v>
      </c>
      <c r="K6" s="3" t="s">
        <v>20</v>
      </c>
      <c r="L6" s="3" t="s">
        <v>21</v>
      </c>
      <c r="N6" s="1">
        <f t="shared" si="1"/>
        <v>0.5</v>
      </c>
      <c r="O6" s="1">
        <f t="shared" si="2"/>
        <v>0.33333333333333331</v>
      </c>
      <c r="P6" s="1">
        <f t="shared" si="3"/>
        <v>0.33333333333333331</v>
      </c>
      <c r="Q6" s="1">
        <f t="shared" si="4"/>
        <v>0.10526315789473684</v>
      </c>
      <c r="R6" s="1">
        <f t="shared" si="5"/>
        <v>0.26219512195121952</v>
      </c>
      <c r="S6" s="1">
        <f t="shared" si="6"/>
        <v>0</v>
      </c>
      <c r="T6" s="1">
        <f t="shared" si="7"/>
        <v>1.5341249465126228</v>
      </c>
      <c r="V6" s="1">
        <f>Sheet3!AB6^2</f>
        <v>0.30601037031696154</v>
      </c>
      <c r="W6" s="1">
        <f>Sheet3!AC6^2</f>
        <v>0.19964628862059419</v>
      </c>
      <c r="X6" s="1">
        <f t="shared" si="8"/>
        <v>17.136580737749846</v>
      </c>
      <c r="Y6" s="1">
        <f t="shared" si="9"/>
        <v>11.180192162753276</v>
      </c>
      <c r="Z6" s="1">
        <f t="shared" si="10"/>
        <v>522.38589999999988</v>
      </c>
      <c r="AA6" s="1">
        <f t="shared" si="11"/>
        <v>2257.5106999999994</v>
      </c>
      <c r="AB6" s="1">
        <f t="shared" si="12"/>
        <v>0.81208441349940863</v>
      </c>
      <c r="AC6" s="1">
        <f t="shared" si="13"/>
        <v>0.18791558650059137</v>
      </c>
      <c r="AD6" s="1">
        <f>ABS(AB6 - Sheet3!AB6)</f>
        <v>0.25890237265122495</v>
      </c>
      <c r="AF6" s="15">
        <f t="shared" si="14"/>
        <v>1</v>
      </c>
      <c r="AG6" s="15">
        <f t="shared" si="15"/>
        <v>1</v>
      </c>
    </row>
    <row r="7" spans="1:33" ht="27.6" x14ac:dyDescent="0.3">
      <c r="A7" s="2">
        <v>202207</v>
      </c>
      <c r="B7" s="6">
        <v>44745</v>
      </c>
      <c r="C7" s="3">
        <v>78</v>
      </c>
      <c r="D7" s="3">
        <v>126</v>
      </c>
      <c r="E7" s="3">
        <v>48</v>
      </c>
      <c r="F7" s="3">
        <v>17</v>
      </c>
      <c r="G7" s="3">
        <v>126</v>
      </c>
      <c r="H7" s="3">
        <v>25</v>
      </c>
      <c r="I7" s="3">
        <v>126</v>
      </c>
      <c r="J7" s="3" t="s">
        <v>19</v>
      </c>
      <c r="K7" s="3" t="s">
        <v>22</v>
      </c>
      <c r="L7" s="3" t="s">
        <v>23</v>
      </c>
      <c r="N7" s="1">
        <f t="shared" si="1"/>
        <v>0.87931034482758619</v>
      </c>
      <c r="O7" s="1">
        <f t="shared" si="2"/>
        <v>0.79047619047619044</v>
      </c>
      <c r="P7" s="1">
        <f t="shared" si="3"/>
        <v>0.25</v>
      </c>
      <c r="Q7" s="1">
        <f t="shared" si="4"/>
        <v>0.42105263157894735</v>
      </c>
      <c r="R7" s="1">
        <f t="shared" si="5"/>
        <v>0.66463414634146345</v>
      </c>
      <c r="S7" s="1">
        <f t="shared" si="6"/>
        <v>0.375</v>
      </c>
      <c r="T7" s="1">
        <f t="shared" si="7"/>
        <v>3.3804733132241873</v>
      </c>
      <c r="V7" s="1">
        <f>Sheet3!AB7^2</f>
        <v>0.3222548480389022</v>
      </c>
      <c r="W7" s="1">
        <f>Sheet3!AC7^2</f>
        <v>0.18690494948092512</v>
      </c>
      <c r="X7" s="1">
        <f t="shared" si="8"/>
        <v>25.135878147034372</v>
      </c>
      <c r="Y7" s="1">
        <f t="shared" si="9"/>
        <v>14.57858605951216</v>
      </c>
      <c r="Z7" s="1">
        <f t="shared" si="10"/>
        <v>6115.2859000000017</v>
      </c>
      <c r="AA7" s="1">
        <f t="shared" si="11"/>
        <v>1687.3907000000002</v>
      </c>
      <c r="AB7" s="1">
        <f t="shared" si="12"/>
        <v>0.21625793128475937</v>
      </c>
      <c r="AC7" s="1">
        <f t="shared" si="13"/>
        <v>0.78374206871524066</v>
      </c>
      <c r="AD7" s="1">
        <f>ABS(AB7 - Sheet3!AB7)</f>
        <v>0.3514170179942292</v>
      </c>
      <c r="AF7" s="15">
        <f t="shared" si="14"/>
        <v>2</v>
      </c>
      <c r="AG7" s="15">
        <f t="shared" si="15"/>
        <v>1</v>
      </c>
    </row>
    <row r="8" spans="1:33" ht="27.6" x14ac:dyDescent="0.3">
      <c r="A8" s="2">
        <v>202207</v>
      </c>
      <c r="B8" s="6">
        <v>44744</v>
      </c>
      <c r="C8" s="3">
        <v>81</v>
      </c>
      <c r="D8" s="3">
        <v>137</v>
      </c>
      <c r="E8" s="3">
        <v>47</v>
      </c>
      <c r="F8" s="3">
        <v>18</v>
      </c>
      <c r="G8" s="3">
        <v>106</v>
      </c>
      <c r="H8" s="3">
        <v>29</v>
      </c>
      <c r="I8" s="3">
        <v>137</v>
      </c>
      <c r="J8" s="3" t="s">
        <v>19</v>
      </c>
      <c r="K8" s="3" t="s">
        <v>22</v>
      </c>
      <c r="L8" s="3" t="s">
        <v>21</v>
      </c>
      <c r="N8" s="1">
        <f t="shared" si="1"/>
        <v>0.93103448275862066</v>
      </c>
      <c r="O8" s="1">
        <f t="shared" si="2"/>
        <v>0.89523809523809528</v>
      </c>
      <c r="P8" s="1">
        <f t="shared" si="3"/>
        <v>0.16666666666666666</v>
      </c>
      <c r="Q8" s="1">
        <f t="shared" si="4"/>
        <v>0.47368421052631576</v>
      </c>
      <c r="R8" s="1">
        <f t="shared" si="5"/>
        <v>0.54268292682926833</v>
      </c>
      <c r="S8" s="1">
        <f t="shared" si="6"/>
        <v>0.5</v>
      </c>
      <c r="T8" s="1">
        <f t="shared" si="7"/>
        <v>3.5093063820189672</v>
      </c>
      <c r="V8" s="1">
        <f>Sheet3!AB8^2</f>
        <v>0.31219586190807591</v>
      </c>
      <c r="W8" s="1">
        <f>Sheet3!AC8^2</f>
        <v>0.19470606435630244</v>
      </c>
      <c r="X8" s="1">
        <f t="shared" si="8"/>
        <v>25.287864814554148</v>
      </c>
      <c r="Y8" s="1">
        <f t="shared" ref="Y8:Y66" si="16">W8 * C8</f>
        <v>15.771191212860497</v>
      </c>
      <c r="Z8" s="1">
        <f t="shared" si="10"/>
        <v>4677.5659000000005</v>
      </c>
      <c r="AA8" s="1">
        <f t="shared" si="11"/>
        <v>1176.3907000000002</v>
      </c>
      <c r="AB8" s="1">
        <f t="shared" si="12"/>
        <v>0.20095651204520376</v>
      </c>
      <c r="AC8" s="1">
        <f t="shared" si="13"/>
        <v>0.79904348795479629</v>
      </c>
      <c r="AD8" s="1">
        <f>ABS(AB8 - Sheet3!AB8)</f>
        <v>0.35778838673068297</v>
      </c>
      <c r="AF8" s="15">
        <f t="shared" si="14"/>
        <v>2</v>
      </c>
      <c r="AG8" s="15">
        <f t="shared" si="15"/>
        <v>1</v>
      </c>
    </row>
    <row r="9" spans="1:33" ht="27.6" x14ac:dyDescent="0.3">
      <c r="A9" s="2">
        <v>202208</v>
      </c>
      <c r="B9" s="6">
        <v>44774</v>
      </c>
      <c r="C9" s="3">
        <v>68</v>
      </c>
      <c r="D9" s="3">
        <v>109</v>
      </c>
      <c r="E9" s="3">
        <v>50</v>
      </c>
      <c r="F9" s="3">
        <v>12</v>
      </c>
      <c r="G9" s="3">
        <v>91</v>
      </c>
      <c r="H9" s="3">
        <v>19</v>
      </c>
      <c r="I9" s="3">
        <v>109</v>
      </c>
      <c r="J9" s="3" t="s">
        <v>19</v>
      </c>
      <c r="K9" s="3" t="s">
        <v>22</v>
      </c>
      <c r="L9" s="3" t="s">
        <v>21</v>
      </c>
      <c r="N9" s="1">
        <f t="shared" si="1"/>
        <v>0.7068965517241379</v>
      </c>
      <c r="O9" s="1">
        <f t="shared" si="2"/>
        <v>0.62857142857142856</v>
      </c>
      <c r="P9" s="1">
        <f t="shared" si="3"/>
        <v>0.41666666666666669</v>
      </c>
      <c r="Q9" s="1">
        <f t="shared" si="4"/>
        <v>0.15789473684210525</v>
      </c>
      <c r="R9" s="1">
        <f t="shared" si="5"/>
        <v>0.45121951219512196</v>
      </c>
      <c r="S9" s="1">
        <f t="shared" si="6"/>
        <v>0.1875</v>
      </c>
      <c r="T9" s="1">
        <f t="shared" si="7"/>
        <v>2.5487488959994606</v>
      </c>
      <c r="V9" s="1">
        <f>Sheet3!AB9^2</f>
        <v>0.38981072633283431</v>
      </c>
      <c r="W9" s="1">
        <f>Sheet3!AC9^2</f>
        <v>0.14111424386348048</v>
      </c>
      <c r="X9" s="1">
        <f t="shared" si="8"/>
        <v>26.507129390632734</v>
      </c>
      <c r="Y9" s="1">
        <f t="shared" si="16"/>
        <v>9.5957685827166728</v>
      </c>
      <c r="Z9" s="1">
        <f t="shared" si="10"/>
        <v>1532.2659000000003</v>
      </c>
      <c r="AA9" s="1">
        <f t="shared" si="11"/>
        <v>89.790700000000044</v>
      </c>
      <c r="AB9" s="1">
        <f t="shared" si="12"/>
        <v>5.535608313544671E-2</v>
      </c>
      <c r="AC9" s="1">
        <f t="shared" si="13"/>
        <v>0.94464391686455329</v>
      </c>
      <c r="AD9" s="1">
        <f>ABS(AB9 - Sheet3!AB9)</f>
        <v>0.56899215809923021</v>
      </c>
      <c r="AF9" s="15">
        <f t="shared" si="14"/>
        <v>2</v>
      </c>
      <c r="AG9" s="15">
        <f t="shared" si="15"/>
        <v>1</v>
      </c>
    </row>
    <row r="10" spans="1:33" ht="27.6" x14ac:dyDescent="0.3">
      <c r="A10" s="2">
        <v>202208</v>
      </c>
      <c r="B10" s="6">
        <v>44804</v>
      </c>
      <c r="C10" s="3">
        <v>85</v>
      </c>
      <c r="D10" s="3">
        <v>148</v>
      </c>
      <c r="E10" s="3">
        <v>51</v>
      </c>
      <c r="F10" s="3">
        <v>25</v>
      </c>
      <c r="G10" s="3">
        <v>74</v>
      </c>
      <c r="H10" s="3">
        <v>37</v>
      </c>
      <c r="I10" s="3">
        <v>148</v>
      </c>
      <c r="J10" s="3" t="s">
        <v>19</v>
      </c>
      <c r="K10" s="3" t="s">
        <v>22</v>
      </c>
      <c r="L10" s="3" t="s">
        <v>21</v>
      </c>
      <c r="N10" s="1">
        <f t="shared" si="1"/>
        <v>1</v>
      </c>
      <c r="O10" s="1">
        <f t="shared" si="2"/>
        <v>1</v>
      </c>
      <c r="P10" s="1">
        <f t="shared" si="3"/>
        <v>0.5</v>
      </c>
      <c r="Q10" s="1">
        <f t="shared" si="4"/>
        <v>0.84210526315789469</v>
      </c>
      <c r="R10" s="1">
        <f t="shared" si="5"/>
        <v>0.34756097560975607</v>
      </c>
      <c r="S10" s="1">
        <f t="shared" si="6"/>
        <v>0.75</v>
      </c>
      <c r="T10" s="1">
        <f t="shared" si="7"/>
        <v>4.4396662387676509</v>
      </c>
      <c r="V10" s="1">
        <f>Sheet3!AB10^2</f>
        <v>0.26589849362062645</v>
      </c>
      <c r="W10" s="1">
        <f>Sheet3!AC10^2</f>
        <v>0.23459156816996032</v>
      </c>
      <c r="X10" s="1">
        <f t="shared" si="8"/>
        <v>22.601371957753248</v>
      </c>
      <c r="Y10" s="1">
        <f t="shared" si="16"/>
        <v>19.940283294446626</v>
      </c>
      <c r="Z10" s="1">
        <f t="shared" si="10"/>
        <v>3932.505900000001</v>
      </c>
      <c r="AA10" s="1">
        <f t="shared" si="11"/>
        <v>2128.4907000000003</v>
      </c>
      <c r="AB10" s="1">
        <f t="shared" si="12"/>
        <v>0.35117833591921171</v>
      </c>
      <c r="AC10" s="1">
        <f t="shared" si="13"/>
        <v>0.64882166408078823</v>
      </c>
      <c r="AD10" s="1">
        <f>ABS(AB10 - Sheet3!AB10)</f>
        <v>0.16447512680612136</v>
      </c>
      <c r="AF10" s="15">
        <f t="shared" si="14"/>
        <v>2</v>
      </c>
      <c r="AG10" s="15">
        <f t="shared" si="15"/>
        <v>1</v>
      </c>
    </row>
    <row r="11" spans="1:33" x14ac:dyDescent="0.3">
      <c r="A11" s="2">
        <v>202208</v>
      </c>
      <c r="B11" s="6">
        <v>44803</v>
      </c>
      <c r="C11" s="3">
        <v>59</v>
      </c>
      <c r="D11" s="3">
        <v>84</v>
      </c>
      <c r="E11" s="3">
        <v>50</v>
      </c>
      <c r="F11" s="3">
        <v>15</v>
      </c>
      <c r="G11" s="3">
        <v>56</v>
      </c>
      <c r="H11" s="3">
        <v>29</v>
      </c>
      <c r="I11" s="3">
        <v>84</v>
      </c>
      <c r="J11" s="3" t="s">
        <v>19</v>
      </c>
      <c r="K11" s="3" t="s">
        <v>20</v>
      </c>
      <c r="L11" s="3" t="s">
        <v>21</v>
      </c>
      <c r="N11" s="1">
        <f t="shared" si="1"/>
        <v>0.55172413793103448</v>
      </c>
      <c r="O11" s="1">
        <f t="shared" si="2"/>
        <v>0.39047619047619048</v>
      </c>
      <c r="P11" s="1">
        <f t="shared" si="3"/>
        <v>0.41666666666666669</v>
      </c>
      <c r="Q11" s="1">
        <f t="shared" si="4"/>
        <v>0.31578947368421051</v>
      </c>
      <c r="R11" s="1">
        <f t="shared" si="5"/>
        <v>0.23780487804878048</v>
      </c>
      <c r="S11" s="1">
        <f t="shared" si="6"/>
        <v>0.5</v>
      </c>
      <c r="T11" s="1">
        <f t="shared" si="7"/>
        <v>2.4124613468068827</v>
      </c>
      <c r="V11" s="1">
        <f>Sheet3!AB11^2</f>
        <v>0.23412556993865991</v>
      </c>
      <c r="W11" s="1">
        <f>Sheet3!AC11^2</f>
        <v>0.26639509105797504</v>
      </c>
      <c r="X11" s="1">
        <f t="shared" si="8"/>
        <v>13.813408626380934</v>
      </c>
      <c r="Y11" s="1">
        <f t="shared" si="16"/>
        <v>15.717310372420528</v>
      </c>
      <c r="Z11" s="1">
        <f t="shared" si="10"/>
        <v>115.40589999999992</v>
      </c>
      <c r="AA11" s="1">
        <f t="shared" si="11"/>
        <v>1892.2106999999999</v>
      </c>
      <c r="AB11" s="1">
        <f t="shared" si="12"/>
        <v>0.94251596644498759</v>
      </c>
      <c r="AC11" s="1">
        <f t="shared" si="13"/>
        <v>5.7484033555012415E-2</v>
      </c>
      <c r="AD11" s="1">
        <f>ABS(AB11 - Sheet3!AB11)</f>
        <v>0.45865072700464515</v>
      </c>
      <c r="AF11" s="15">
        <f t="shared" si="14"/>
        <v>1</v>
      </c>
      <c r="AG11" s="15">
        <f t="shared" si="15"/>
        <v>1</v>
      </c>
    </row>
    <row r="12" spans="1:33" x14ac:dyDescent="0.3">
      <c r="A12" s="2">
        <v>202208</v>
      </c>
      <c r="B12" s="6">
        <v>44802</v>
      </c>
      <c r="C12" s="3">
        <v>58</v>
      </c>
      <c r="D12" s="3">
        <v>82</v>
      </c>
      <c r="E12" s="3">
        <v>49</v>
      </c>
      <c r="F12" s="3">
        <v>16</v>
      </c>
      <c r="G12" s="3">
        <v>55</v>
      </c>
      <c r="H12" s="3">
        <v>29</v>
      </c>
      <c r="I12" s="3">
        <v>82</v>
      </c>
      <c r="J12" s="3" t="s">
        <v>19</v>
      </c>
      <c r="K12" s="3" t="s">
        <v>20</v>
      </c>
      <c r="L12" s="3" t="s">
        <v>21</v>
      </c>
      <c r="N12" s="1">
        <f t="shared" si="1"/>
        <v>0.53448275862068961</v>
      </c>
      <c r="O12" s="1">
        <f t="shared" si="2"/>
        <v>0.37142857142857144</v>
      </c>
      <c r="P12" s="1">
        <f t="shared" si="3"/>
        <v>0.33333333333333331</v>
      </c>
      <c r="Q12" s="1">
        <f t="shared" si="4"/>
        <v>0.36842105263157893</v>
      </c>
      <c r="R12" s="1">
        <f t="shared" si="5"/>
        <v>0.23170731707317074</v>
      </c>
      <c r="S12" s="1">
        <f t="shared" si="6"/>
        <v>0.5</v>
      </c>
      <c r="T12" s="1">
        <f t="shared" si="7"/>
        <v>2.3393730330873441</v>
      </c>
      <c r="V12" s="1">
        <f>Sheet3!AB12^2</f>
        <v>0.21309620513507022</v>
      </c>
      <c r="W12" s="1">
        <f>Sheet3!AC12^2</f>
        <v>0.2898493147854298</v>
      </c>
      <c r="X12" s="1">
        <f t="shared" si="8"/>
        <v>12.359579897834072</v>
      </c>
      <c r="Y12" s="1">
        <f t="shared" si="16"/>
        <v>16.811260257554927</v>
      </c>
      <c r="Z12" s="1">
        <f t="shared" si="10"/>
        <v>168.38589999999991</v>
      </c>
      <c r="AA12" s="1">
        <f t="shared" si="11"/>
        <v>2084.6906999999992</v>
      </c>
      <c r="AB12" s="1">
        <f t="shared" si="12"/>
        <v>0.92526401454792973</v>
      </c>
      <c r="AC12" s="1">
        <f t="shared" ref="AC12:AC23" si="17">1 - AB12</f>
        <v>7.4735985452070275E-2</v>
      </c>
      <c r="AD12" s="1">
        <f>ABS(AB12 - Sheet3!AB12)</f>
        <v>0.46364056937310955</v>
      </c>
      <c r="AF12" s="15">
        <f t="shared" si="14"/>
        <v>1</v>
      </c>
      <c r="AG12" s="15">
        <f t="shared" si="15"/>
        <v>1</v>
      </c>
    </row>
    <row r="13" spans="1:33" x14ac:dyDescent="0.3">
      <c r="A13" s="2">
        <v>202208</v>
      </c>
      <c r="B13" s="6">
        <v>44801</v>
      </c>
      <c r="C13" s="3">
        <v>64</v>
      </c>
      <c r="D13" s="3">
        <v>85</v>
      </c>
      <c r="E13" s="3">
        <v>49</v>
      </c>
      <c r="F13" s="3">
        <v>17</v>
      </c>
      <c r="G13" s="3">
        <v>56</v>
      </c>
      <c r="H13" s="3">
        <v>30</v>
      </c>
      <c r="I13" s="3">
        <v>85</v>
      </c>
      <c r="J13" s="3" t="s">
        <v>19</v>
      </c>
      <c r="K13" s="3" t="s">
        <v>20</v>
      </c>
      <c r="L13" s="3" t="s">
        <v>24</v>
      </c>
      <c r="N13" s="1">
        <f t="shared" si="1"/>
        <v>0.63793103448275867</v>
      </c>
      <c r="O13" s="1">
        <f t="shared" si="2"/>
        <v>0.4</v>
      </c>
      <c r="P13" s="1">
        <f t="shared" si="3"/>
        <v>0.33333333333333331</v>
      </c>
      <c r="Q13" s="1">
        <f t="shared" si="4"/>
        <v>0.42105263157894735</v>
      </c>
      <c r="R13" s="1">
        <f t="shared" si="5"/>
        <v>0.23780487804878048</v>
      </c>
      <c r="S13" s="1">
        <f t="shared" si="6"/>
        <v>0.53125</v>
      </c>
      <c r="T13" s="1">
        <f t="shared" si="7"/>
        <v>2.5613718774438201</v>
      </c>
      <c r="V13" s="1">
        <f>Sheet3!AB13^2</f>
        <v>0.22273995646602829</v>
      </c>
      <c r="W13" s="1">
        <f>Sheet3!AC13^2</f>
        <v>0.27883327365034172</v>
      </c>
      <c r="X13" s="1">
        <f t="shared" si="8"/>
        <v>14.25535721382581</v>
      </c>
      <c r="Y13" s="1">
        <f t="shared" si="16"/>
        <v>17.84532951362187</v>
      </c>
      <c r="Z13" s="1">
        <f t="shared" si="10"/>
        <v>86.625899999999945</v>
      </c>
      <c r="AA13" s="1">
        <f t="shared" si="11"/>
        <v>1754.1706999999997</v>
      </c>
      <c r="AB13" s="1">
        <f t="shared" si="12"/>
        <v>0.95294107996505428</v>
      </c>
      <c r="AC13" s="1">
        <f t="shared" si="17"/>
        <v>4.7058920034945717E-2</v>
      </c>
      <c r="AD13" s="1">
        <f>ABS(AB13 - Sheet3!AB13)</f>
        <v>0.480987738557211</v>
      </c>
      <c r="AF13" s="15">
        <f t="shared" si="14"/>
        <v>1</v>
      </c>
      <c r="AG13" s="15">
        <f t="shared" si="15"/>
        <v>1</v>
      </c>
    </row>
    <row r="14" spans="1:33" ht="27.6" x14ac:dyDescent="0.3">
      <c r="A14" s="2">
        <v>202208</v>
      </c>
      <c r="B14" s="6">
        <v>44800</v>
      </c>
      <c r="C14" s="3">
        <v>80</v>
      </c>
      <c r="D14" s="3">
        <v>130</v>
      </c>
      <c r="E14" s="3">
        <v>50</v>
      </c>
      <c r="F14" s="3">
        <v>25</v>
      </c>
      <c r="G14" s="3">
        <v>57</v>
      </c>
      <c r="H14" s="3">
        <v>37</v>
      </c>
      <c r="I14" s="3">
        <v>130</v>
      </c>
      <c r="J14" s="3" t="s">
        <v>19</v>
      </c>
      <c r="K14" s="3" t="s">
        <v>22</v>
      </c>
      <c r="L14" s="3" t="s">
        <v>21</v>
      </c>
      <c r="N14" s="1">
        <f t="shared" si="1"/>
        <v>0.91379310344827591</v>
      </c>
      <c r="O14" s="1">
        <f t="shared" si="2"/>
        <v>0.82857142857142863</v>
      </c>
      <c r="P14" s="1">
        <f t="shared" si="3"/>
        <v>0.41666666666666669</v>
      </c>
      <c r="Q14" s="1">
        <f t="shared" si="4"/>
        <v>0.84210526315789469</v>
      </c>
      <c r="R14" s="1">
        <f t="shared" si="5"/>
        <v>0.24390243902439024</v>
      </c>
      <c r="S14" s="1">
        <f t="shared" si="6"/>
        <v>0.75</v>
      </c>
      <c r="T14" s="1">
        <f t="shared" si="7"/>
        <v>3.9950389008686562</v>
      </c>
      <c r="V14" s="1">
        <f>Sheet3!AB14^2</f>
        <v>0.23402302135306424</v>
      </c>
      <c r="W14" s="1">
        <f>Sheet3!AC14^2</f>
        <v>0.26650450193741143</v>
      </c>
      <c r="X14" s="1">
        <f t="shared" si="8"/>
        <v>18.72184170824514</v>
      </c>
      <c r="Y14" s="1">
        <f t="shared" si="16"/>
        <v>21.320360154992915</v>
      </c>
      <c r="Z14" s="1">
        <f t="shared" si="10"/>
        <v>1795.0459000000003</v>
      </c>
      <c r="AA14" s="1">
        <f t="shared" si="11"/>
        <v>1743.8107</v>
      </c>
      <c r="AB14" s="1">
        <f t="shared" si="12"/>
        <v>0.49276105169110268</v>
      </c>
      <c r="AC14" s="1">
        <f t="shared" si="17"/>
        <v>0.50723894830889726</v>
      </c>
      <c r="AD14" s="1">
        <f>ABS(AB14 - Sheet3!AB14)</f>
        <v>9.0017919832762749E-3</v>
      </c>
      <c r="AF14" s="15">
        <f t="shared" si="14"/>
        <v>2</v>
      </c>
      <c r="AG14" s="15">
        <f t="shared" si="15"/>
        <v>1</v>
      </c>
    </row>
    <row r="15" spans="1:33" ht="27.6" x14ac:dyDescent="0.3">
      <c r="A15" s="2">
        <v>202208</v>
      </c>
      <c r="B15" s="6">
        <v>44799</v>
      </c>
      <c r="C15" s="3">
        <v>76</v>
      </c>
      <c r="D15" s="3">
        <v>119</v>
      </c>
      <c r="E15" s="3">
        <v>53</v>
      </c>
      <c r="F15" s="3">
        <v>19</v>
      </c>
      <c r="G15" s="3">
        <v>53</v>
      </c>
      <c r="H15" s="3">
        <v>31</v>
      </c>
      <c r="I15" s="3">
        <v>119</v>
      </c>
      <c r="J15" s="3" t="s">
        <v>19</v>
      </c>
      <c r="K15" s="3" t="s">
        <v>22</v>
      </c>
      <c r="L15" s="3" t="s">
        <v>21</v>
      </c>
      <c r="N15" s="1">
        <f t="shared" si="1"/>
        <v>0.84482758620689657</v>
      </c>
      <c r="O15" s="1">
        <f t="shared" si="2"/>
        <v>0.72380952380952379</v>
      </c>
      <c r="P15" s="1">
        <f t="shared" si="3"/>
        <v>0.66666666666666663</v>
      </c>
      <c r="Q15" s="1">
        <f t="shared" si="4"/>
        <v>0.52631578947368418</v>
      </c>
      <c r="R15" s="1">
        <f t="shared" si="5"/>
        <v>0.21951219512195122</v>
      </c>
      <c r="S15" s="1">
        <f t="shared" si="6"/>
        <v>0.5625</v>
      </c>
      <c r="T15" s="1">
        <f t="shared" si="7"/>
        <v>3.5436317612787223</v>
      </c>
      <c r="V15" s="1">
        <f>Sheet3!AB15^2</f>
        <v>0.20373806218877172</v>
      </c>
      <c r="W15" s="1">
        <f>Sheet3!AC15^2</f>
        <v>0.30099100528130834</v>
      </c>
      <c r="X15" s="1">
        <f t="shared" si="8"/>
        <v>15.484092726346651</v>
      </c>
      <c r="Y15" s="1">
        <f t="shared" si="16"/>
        <v>22.875316401379433</v>
      </c>
      <c r="Z15" s="1">
        <f t="shared" si="10"/>
        <v>859.64590000000021</v>
      </c>
      <c r="AA15" s="1">
        <f t="shared" si="11"/>
        <v>1484.7507000000001</v>
      </c>
      <c r="AB15" s="1">
        <f t="shared" ref="AB15:AB66" si="18">(1/Z15) / ((1/Z15) + (1/AA15))</f>
        <v>0.63331891029017862</v>
      </c>
      <c r="AC15" s="1">
        <f t="shared" si="17"/>
        <v>0.36668108970982138</v>
      </c>
      <c r="AD15" s="1">
        <f>ABS(AB15 - Sheet3!AB15)</f>
        <v>0.18194538183644693</v>
      </c>
      <c r="AF15" s="15">
        <f t="shared" si="14"/>
        <v>1</v>
      </c>
      <c r="AG15" s="15">
        <f t="shared" ref="AG15:AG66" si="19">IF(OR(AND(AF15=1, K15="SEDANG"), AND(AF15=2, K15="TIDAK SEHAT")), 1, 0)</f>
        <v>0</v>
      </c>
    </row>
    <row r="16" spans="1:33" x14ac:dyDescent="0.3">
      <c r="A16" s="2">
        <v>202208</v>
      </c>
      <c r="B16" s="6">
        <v>44798</v>
      </c>
      <c r="C16" s="3">
        <v>64</v>
      </c>
      <c r="D16" s="3">
        <v>98</v>
      </c>
      <c r="E16" s="3">
        <v>50</v>
      </c>
      <c r="F16" s="3">
        <v>12</v>
      </c>
      <c r="G16" s="3">
        <v>66</v>
      </c>
      <c r="H16" s="3">
        <v>19</v>
      </c>
      <c r="I16" s="3">
        <v>98</v>
      </c>
      <c r="J16" s="3" t="s">
        <v>19</v>
      </c>
      <c r="K16" s="3" t="s">
        <v>20</v>
      </c>
      <c r="L16" s="3" t="s">
        <v>21</v>
      </c>
      <c r="N16" s="1">
        <f t="shared" si="1"/>
        <v>0.63793103448275867</v>
      </c>
      <c r="O16" s="1">
        <f t="shared" si="2"/>
        <v>0.52380952380952384</v>
      </c>
      <c r="P16" s="1">
        <f t="shared" si="3"/>
        <v>0.41666666666666669</v>
      </c>
      <c r="Q16" s="1">
        <f t="shared" si="4"/>
        <v>0.15789473684210525</v>
      </c>
      <c r="R16" s="1">
        <f t="shared" si="5"/>
        <v>0.29878048780487804</v>
      </c>
      <c r="S16" s="1">
        <f t="shared" si="6"/>
        <v>0.1875</v>
      </c>
      <c r="T16" s="1">
        <f t="shared" si="7"/>
        <v>2.2225824496059325</v>
      </c>
      <c r="V16" s="1">
        <f>Sheet3!AB16^2</f>
        <v>0.4507616356200459</v>
      </c>
      <c r="W16" s="1">
        <f>Sheet3!AC16^2</f>
        <v>0.1079859497811253</v>
      </c>
      <c r="X16" s="1">
        <f t="shared" si="8"/>
        <v>28.848744679682937</v>
      </c>
      <c r="Y16" s="1">
        <f t="shared" si="16"/>
        <v>6.9111007859920193</v>
      </c>
      <c r="Z16" s="1">
        <f t="shared" si="10"/>
        <v>189.32590000000013</v>
      </c>
      <c r="AA16" s="1">
        <f t="shared" si="11"/>
        <v>792.51069999999982</v>
      </c>
      <c r="AB16" s="1">
        <f t="shared" si="18"/>
        <v>0.80717168213122203</v>
      </c>
      <c r="AC16" s="1">
        <f t="shared" si="17"/>
        <v>0.19282831786877797</v>
      </c>
      <c r="AD16" s="1">
        <f>ABS(AB16 - Sheet3!AB16)</f>
        <v>0.13578383921176174</v>
      </c>
      <c r="AF16" s="15">
        <f t="shared" si="14"/>
        <v>1</v>
      </c>
      <c r="AG16" s="15">
        <f t="shared" si="19"/>
        <v>1</v>
      </c>
    </row>
    <row r="17" spans="1:33" ht="27.6" x14ac:dyDescent="0.3">
      <c r="A17" s="2">
        <v>202208</v>
      </c>
      <c r="B17" s="6">
        <v>44797</v>
      </c>
      <c r="C17" s="3">
        <v>71</v>
      </c>
      <c r="D17" s="3">
        <v>119</v>
      </c>
      <c r="E17" s="3">
        <v>50</v>
      </c>
      <c r="F17" s="3">
        <v>15</v>
      </c>
      <c r="G17" s="3">
        <v>82</v>
      </c>
      <c r="H17" s="3">
        <v>20</v>
      </c>
      <c r="I17" s="3">
        <v>119</v>
      </c>
      <c r="J17" s="3" t="s">
        <v>19</v>
      </c>
      <c r="K17" s="3" t="s">
        <v>22</v>
      </c>
      <c r="L17" s="3" t="s">
        <v>21</v>
      </c>
      <c r="N17" s="1">
        <f t="shared" si="1"/>
        <v>0.75862068965517238</v>
      </c>
      <c r="O17" s="1">
        <f t="shared" si="2"/>
        <v>0.72380952380952379</v>
      </c>
      <c r="P17" s="1">
        <f t="shared" si="3"/>
        <v>0.41666666666666669</v>
      </c>
      <c r="Q17" s="1">
        <f t="shared" si="4"/>
        <v>0.31578947368421051</v>
      </c>
      <c r="R17" s="1">
        <f t="shared" si="5"/>
        <v>0.39634146341463417</v>
      </c>
      <c r="S17" s="1">
        <f t="shared" si="6"/>
        <v>0.21875</v>
      </c>
      <c r="T17" s="1">
        <f t="shared" si="7"/>
        <v>2.8299778172302075</v>
      </c>
      <c r="V17" s="1">
        <f>Sheet3!AB17^2</f>
        <v>0.34779179430180523</v>
      </c>
      <c r="W17" s="1">
        <f>Sheet3!AC17^2</f>
        <v>0.16831429252094426</v>
      </c>
      <c r="X17" s="1">
        <f t="shared" si="8"/>
        <v>24.693217395428171</v>
      </c>
      <c r="Y17" s="1">
        <f t="shared" si="16"/>
        <v>11.950314768987043</v>
      </c>
      <c r="Z17" s="1">
        <f t="shared" si="10"/>
        <v>1407.8459000000003</v>
      </c>
      <c r="AA17" s="1">
        <f t="shared" si="11"/>
        <v>193.71070000000012</v>
      </c>
      <c r="AB17" s="1">
        <f t="shared" si="18"/>
        <v>0.12095151679309996</v>
      </c>
      <c r="AC17" s="1">
        <f t="shared" si="17"/>
        <v>0.8790484832069001</v>
      </c>
      <c r="AD17" s="1">
        <f>ABS(AB17 - Sheet3!AB17)</f>
        <v>0.46878723409733053</v>
      </c>
      <c r="AF17" s="15">
        <f t="shared" si="14"/>
        <v>2</v>
      </c>
      <c r="AG17" s="15">
        <f t="shared" si="19"/>
        <v>1</v>
      </c>
    </row>
    <row r="18" spans="1:33" ht="27.6" x14ac:dyDescent="0.3">
      <c r="A18" s="2">
        <v>202208</v>
      </c>
      <c r="B18" s="6">
        <v>44796</v>
      </c>
      <c r="C18" s="3">
        <v>76</v>
      </c>
      <c r="D18" s="3">
        <v>116</v>
      </c>
      <c r="E18" s="3">
        <v>49</v>
      </c>
      <c r="F18" s="3">
        <v>17</v>
      </c>
      <c r="G18" s="3">
        <v>81</v>
      </c>
      <c r="H18" s="3">
        <v>27</v>
      </c>
      <c r="I18" s="3">
        <v>116</v>
      </c>
      <c r="J18" s="3" t="s">
        <v>19</v>
      </c>
      <c r="K18" s="3" t="s">
        <v>22</v>
      </c>
      <c r="L18" s="3" t="s">
        <v>21</v>
      </c>
      <c r="N18" s="1">
        <f t="shared" si="1"/>
        <v>0.84482758620689657</v>
      </c>
      <c r="O18" s="1">
        <f t="shared" si="2"/>
        <v>0.69523809523809521</v>
      </c>
      <c r="P18" s="1">
        <f t="shared" si="3"/>
        <v>0.33333333333333331</v>
      </c>
      <c r="Q18" s="1">
        <f t="shared" si="4"/>
        <v>0.42105263157894735</v>
      </c>
      <c r="R18" s="1">
        <f t="shared" si="5"/>
        <v>0.3902439024390244</v>
      </c>
      <c r="S18" s="1">
        <f t="shared" si="6"/>
        <v>0.4375</v>
      </c>
      <c r="T18" s="1">
        <f t="shared" si="7"/>
        <v>3.1221955487962965</v>
      </c>
      <c r="V18" s="1">
        <f>Sheet3!AB18^2</f>
        <v>0.35398992508937088</v>
      </c>
      <c r="W18" s="1">
        <f>Sheet3!AC18^2</f>
        <v>0.16404887597917084</v>
      </c>
      <c r="X18" s="1">
        <f t="shared" si="8"/>
        <v>26.903234306792186</v>
      </c>
      <c r="Y18" s="1">
        <f t="shared" si="16"/>
        <v>12.467714574416984</v>
      </c>
      <c r="Z18" s="1">
        <f t="shared" si="10"/>
        <v>1272.9059000000002</v>
      </c>
      <c r="AA18" s="1">
        <f t="shared" si="11"/>
        <v>147.57070000000002</v>
      </c>
      <c r="AB18" s="1">
        <f t="shared" si="18"/>
        <v>0.10388815979087582</v>
      </c>
      <c r="AC18" s="1">
        <f t="shared" si="17"/>
        <v>0.89611184020912416</v>
      </c>
      <c r="AD18" s="1">
        <f>ABS(AB18 - Sheet3!AB18)</f>
        <v>0.49108236476422418</v>
      </c>
      <c r="AF18" s="15">
        <f t="shared" si="14"/>
        <v>2</v>
      </c>
      <c r="AG18" s="15">
        <f t="shared" si="19"/>
        <v>1</v>
      </c>
    </row>
    <row r="19" spans="1:33" x14ac:dyDescent="0.3">
      <c r="A19" s="2">
        <v>202208</v>
      </c>
      <c r="B19" s="6">
        <v>44795</v>
      </c>
      <c r="C19" s="3">
        <v>57</v>
      </c>
      <c r="D19" s="3">
        <v>78</v>
      </c>
      <c r="E19" s="3">
        <v>49</v>
      </c>
      <c r="F19" s="3">
        <v>13</v>
      </c>
      <c r="G19" s="3">
        <v>79</v>
      </c>
      <c r="H19" s="3">
        <v>22</v>
      </c>
      <c r="I19" s="3">
        <v>79</v>
      </c>
      <c r="J19" s="3" t="s">
        <v>25</v>
      </c>
      <c r="K19" s="3" t="s">
        <v>20</v>
      </c>
      <c r="L19" s="3" t="s">
        <v>23</v>
      </c>
      <c r="N19" s="1">
        <f t="shared" si="1"/>
        <v>0.51724137931034486</v>
      </c>
      <c r="O19" s="1">
        <f t="shared" si="2"/>
        <v>0.33333333333333331</v>
      </c>
      <c r="P19" s="1">
        <f t="shared" si="3"/>
        <v>0.33333333333333331</v>
      </c>
      <c r="Q19" s="1">
        <f t="shared" si="4"/>
        <v>0.21052631578947367</v>
      </c>
      <c r="R19" s="1">
        <f t="shared" si="5"/>
        <v>0.37804878048780488</v>
      </c>
      <c r="S19" s="1">
        <f t="shared" si="6"/>
        <v>0.28125</v>
      </c>
      <c r="T19" s="1">
        <f t="shared" si="7"/>
        <v>2.0537331422542899</v>
      </c>
      <c r="V19" s="1">
        <f>Sheet3!AB19^2</f>
        <v>0.47222210189587571</v>
      </c>
      <c r="W19" s="1">
        <f>Sheet3!AC19^2</f>
        <v>9.7853735123887314E-2</v>
      </c>
      <c r="X19" s="1">
        <f t="shared" si="8"/>
        <v>26.916659808064917</v>
      </c>
      <c r="Y19" s="1">
        <f t="shared" si="16"/>
        <v>5.5776629020615767</v>
      </c>
      <c r="Z19" s="1">
        <f t="shared" si="10"/>
        <v>820.84590000000014</v>
      </c>
      <c r="AA19" s="1">
        <f t="shared" si="11"/>
        <v>1298.9906999999998</v>
      </c>
      <c r="AB19" s="1">
        <f t="shared" si="18"/>
        <v>0.61277869247091965</v>
      </c>
      <c r="AC19" s="1">
        <f t="shared" si="17"/>
        <v>0.38722130752908035</v>
      </c>
      <c r="AD19" s="1">
        <f>ABS(AB19 - Sheet3!AB19)</f>
        <v>7.4405490915074535E-2</v>
      </c>
      <c r="AF19" s="15">
        <f t="shared" si="14"/>
        <v>1</v>
      </c>
      <c r="AG19" s="15">
        <f t="shared" si="19"/>
        <v>1</v>
      </c>
    </row>
    <row r="20" spans="1:33" ht="27.6" x14ac:dyDescent="0.3">
      <c r="A20" s="2">
        <v>202208</v>
      </c>
      <c r="B20" s="6">
        <v>44794</v>
      </c>
      <c r="C20" s="3">
        <v>59</v>
      </c>
      <c r="D20" s="3">
        <v>101</v>
      </c>
      <c r="E20" s="3">
        <v>49</v>
      </c>
      <c r="F20" s="3">
        <v>13</v>
      </c>
      <c r="G20" s="3">
        <v>65</v>
      </c>
      <c r="H20" s="3">
        <v>17</v>
      </c>
      <c r="I20" s="3">
        <v>101</v>
      </c>
      <c r="J20" s="3" t="s">
        <v>19</v>
      </c>
      <c r="K20" s="3" t="s">
        <v>22</v>
      </c>
      <c r="L20" s="3" t="s">
        <v>21</v>
      </c>
      <c r="N20" s="1">
        <f t="shared" si="1"/>
        <v>0.55172413793103448</v>
      </c>
      <c r="O20" s="1">
        <f t="shared" si="2"/>
        <v>0.55238095238095242</v>
      </c>
      <c r="P20" s="1">
        <f t="shared" si="3"/>
        <v>0.33333333333333331</v>
      </c>
      <c r="Q20" s="1">
        <f t="shared" si="4"/>
        <v>0.21052631578947367</v>
      </c>
      <c r="R20" s="1">
        <f t="shared" si="5"/>
        <v>0.29268292682926828</v>
      </c>
      <c r="S20" s="1">
        <f t="shared" si="6"/>
        <v>0.125</v>
      </c>
      <c r="T20" s="1">
        <f t="shared" si="7"/>
        <v>2.0656476662640619</v>
      </c>
      <c r="V20" s="1">
        <f>Sheet3!AB20^2</f>
        <v>0.4038300088767886</v>
      </c>
      <c r="W20" s="1">
        <f>Sheet3!AC20^2</f>
        <v>0.13287759611415711</v>
      </c>
      <c r="X20" s="1">
        <f t="shared" si="8"/>
        <v>23.825970523730529</v>
      </c>
      <c r="Y20" s="1">
        <f t="shared" si="16"/>
        <v>7.8397781707352694</v>
      </c>
      <c r="Z20" s="1">
        <f t="shared" si="10"/>
        <v>251.6059000000001</v>
      </c>
      <c r="AA20" s="1">
        <f t="shared" si="11"/>
        <v>893.97069999999985</v>
      </c>
      <c r="AB20" s="1">
        <f t="shared" si="18"/>
        <v>0.78036745862301993</v>
      </c>
      <c r="AC20" s="1">
        <f t="shared" si="17"/>
        <v>0.21963254137698007</v>
      </c>
      <c r="AD20" s="1">
        <f>ABS(AB20 - Sheet3!AB20)</f>
        <v>0.14489125224170418</v>
      </c>
      <c r="AF20" s="15">
        <f t="shared" si="14"/>
        <v>1</v>
      </c>
      <c r="AG20" s="15">
        <f t="shared" si="19"/>
        <v>0</v>
      </c>
    </row>
    <row r="21" spans="1:33" ht="27.6" x14ac:dyDescent="0.3">
      <c r="A21" s="2">
        <v>202208</v>
      </c>
      <c r="B21" s="6">
        <v>44793</v>
      </c>
      <c r="C21" s="3">
        <v>76</v>
      </c>
      <c r="D21" s="3">
        <v>117</v>
      </c>
      <c r="E21" s="3">
        <v>50</v>
      </c>
      <c r="F21" s="3">
        <v>14</v>
      </c>
      <c r="G21" s="3">
        <v>69</v>
      </c>
      <c r="H21" s="3">
        <v>18</v>
      </c>
      <c r="I21" s="3">
        <v>117</v>
      </c>
      <c r="J21" s="3" t="s">
        <v>19</v>
      </c>
      <c r="K21" s="3" t="s">
        <v>22</v>
      </c>
      <c r="L21" s="3" t="s">
        <v>21</v>
      </c>
      <c r="N21" s="1">
        <f t="shared" si="1"/>
        <v>0.84482758620689657</v>
      </c>
      <c r="O21" s="1">
        <f t="shared" si="2"/>
        <v>0.70476190476190481</v>
      </c>
      <c r="P21" s="1">
        <f t="shared" si="3"/>
        <v>0.41666666666666669</v>
      </c>
      <c r="Q21" s="1">
        <f t="shared" si="4"/>
        <v>0.26315789473684209</v>
      </c>
      <c r="R21" s="1">
        <f t="shared" si="5"/>
        <v>0.31707317073170732</v>
      </c>
      <c r="S21" s="1">
        <f t="shared" si="6"/>
        <v>0.15625</v>
      </c>
      <c r="T21" s="1">
        <f t="shared" si="7"/>
        <v>2.7027372231040174</v>
      </c>
      <c r="V21" s="1">
        <f>Sheet3!AB21^2</f>
        <v>0.30114709802882439</v>
      </c>
      <c r="W21" s="1">
        <f>Sheet3!AC21^2</f>
        <v>0.20360967629082388</v>
      </c>
      <c r="X21" s="1">
        <f t="shared" si="8"/>
        <v>22.887179450190654</v>
      </c>
      <c r="Y21" s="1">
        <f t="shared" si="16"/>
        <v>15.474335398102616</v>
      </c>
      <c r="Z21" s="1">
        <f t="shared" si="10"/>
        <v>953.80590000000029</v>
      </c>
      <c r="AA21" s="1">
        <f t="shared" si="11"/>
        <v>583.07069999999999</v>
      </c>
      <c r="AB21" s="1">
        <f t="shared" si="18"/>
        <v>0.37938680307839934</v>
      </c>
      <c r="AC21" s="1">
        <f t="shared" si="17"/>
        <v>0.62061319692160066</v>
      </c>
      <c r="AD21" s="1">
        <f>ABS(AB21 - Sheet3!AB21)</f>
        <v>0.16938190779060092</v>
      </c>
      <c r="AF21" s="15">
        <f t="shared" si="14"/>
        <v>2</v>
      </c>
      <c r="AG21" s="15">
        <f t="shared" si="19"/>
        <v>1</v>
      </c>
    </row>
    <row r="22" spans="1:33" ht="27.6" x14ac:dyDescent="0.3">
      <c r="A22" s="2">
        <v>202208</v>
      </c>
      <c r="B22" s="6">
        <v>44792</v>
      </c>
      <c r="C22" s="3">
        <v>70</v>
      </c>
      <c r="D22" s="3">
        <v>105</v>
      </c>
      <c r="E22" s="3">
        <v>49</v>
      </c>
      <c r="F22" s="3">
        <v>14</v>
      </c>
      <c r="G22" s="3">
        <v>66</v>
      </c>
      <c r="H22" s="3">
        <v>26</v>
      </c>
      <c r="I22" s="3">
        <v>105</v>
      </c>
      <c r="J22" s="3" t="s">
        <v>19</v>
      </c>
      <c r="K22" s="3" t="s">
        <v>22</v>
      </c>
      <c r="L22" s="3" t="s">
        <v>21</v>
      </c>
      <c r="N22" s="1">
        <f t="shared" si="1"/>
        <v>0.74137931034482762</v>
      </c>
      <c r="O22" s="1">
        <f t="shared" si="2"/>
        <v>0.59047619047619049</v>
      </c>
      <c r="P22" s="1">
        <f t="shared" si="3"/>
        <v>0.33333333333333331</v>
      </c>
      <c r="Q22" s="1">
        <f t="shared" si="4"/>
        <v>0.26315789473684209</v>
      </c>
      <c r="R22" s="1">
        <f t="shared" si="5"/>
        <v>0.29878048780487804</v>
      </c>
      <c r="S22" s="1">
        <f t="shared" si="6"/>
        <v>0.40625</v>
      </c>
      <c r="T22" s="1">
        <f t="shared" si="7"/>
        <v>2.6333772166960712</v>
      </c>
      <c r="V22" s="1">
        <f>Sheet3!AB22^2</f>
        <v>0.37894147101468273</v>
      </c>
      <c r="W22" s="1">
        <f>Sheet3!AC22^2</f>
        <v>0.14777702868428028</v>
      </c>
      <c r="X22" s="1">
        <f t="shared" si="8"/>
        <v>26.52590297102779</v>
      </c>
      <c r="Y22" s="1">
        <f t="shared" si="16"/>
        <v>10.34439200789962</v>
      </c>
      <c r="Z22" s="1">
        <f t="shared" si="10"/>
        <v>276.18590000000017</v>
      </c>
      <c r="AA22" s="1">
        <f t="shared" si="11"/>
        <v>574.61069999999984</v>
      </c>
      <c r="AB22" s="1">
        <f t="shared" si="18"/>
        <v>0.67537963832953707</v>
      </c>
      <c r="AC22" s="1">
        <f t="shared" si="17"/>
        <v>0.32462036167046293</v>
      </c>
      <c r="AD22" s="1">
        <f>ABS(AB22 - Sheet3!AB22)</f>
        <v>5.9797417164335842E-2</v>
      </c>
      <c r="AF22" s="15">
        <f t="shared" si="14"/>
        <v>1</v>
      </c>
      <c r="AG22" s="15">
        <f t="shared" si="19"/>
        <v>0</v>
      </c>
    </row>
    <row r="23" spans="1:33" x14ac:dyDescent="0.3">
      <c r="A23" s="2">
        <v>202208</v>
      </c>
      <c r="B23" s="6">
        <v>44791</v>
      </c>
      <c r="C23" s="3">
        <v>64</v>
      </c>
      <c r="D23" s="3">
        <v>89</v>
      </c>
      <c r="E23" s="3">
        <v>49</v>
      </c>
      <c r="F23" s="3">
        <v>25</v>
      </c>
      <c r="G23" s="3">
        <v>84</v>
      </c>
      <c r="H23" s="3">
        <v>28</v>
      </c>
      <c r="I23" s="3">
        <v>89</v>
      </c>
      <c r="J23" s="3" t="s">
        <v>19</v>
      </c>
      <c r="K23" s="3" t="s">
        <v>20</v>
      </c>
      <c r="L23" s="3" t="s">
        <v>21</v>
      </c>
      <c r="N23" s="1">
        <f t="shared" si="1"/>
        <v>0.63793103448275867</v>
      </c>
      <c r="O23" s="1">
        <f t="shared" si="2"/>
        <v>0.43809523809523809</v>
      </c>
      <c r="P23" s="1">
        <f t="shared" si="3"/>
        <v>0.33333333333333331</v>
      </c>
      <c r="Q23" s="1">
        <f t="shared" si="4"/>
        <v>0.84210526315789469</v>
      </c>
      <c r="R23" s="1">
        <f t="shared" si="5"/>
        <v>0.40853658536585363</v>
      </c>
      <c r="S23" s="1">
        <f t="shared" si="6"/>
        <v>0.46875</v>
      </c>
      <c r="T23" s="1">
        <f t="shared" si="7"/>
        <v>3.1287514544350787</v>
      </c>
      <c r="V23" s="1">
        <f>Sheet3!AB23^2</f>
        <v>0.50125502272377376</v>
      </c>
      <c r="W23" s="1">
        <f>Sheet3!AC23^2</f>
        <v>8.5267702549226776E-2</v>
      </c>
      <c r="X23" s="1">
        <f t="shared" si="8"/>
        <v>32.08032145432152</v>
      </c>
      <c r="Y23" s="1">
        <f t="shared" si="16"/>
        <v>5.4571329631505137</v>
      </c>
      <c r="Z23" s="1">
        <f t="shared" si="10"/>
        <v>857.06590000000006</v>
      </c>
      <c r="AA23" s="1">
        <f t="shared" si="11"/>
        <v>538.81069999999977</v>
      </c>
      <c r="AB23" s="1">
        <f t="shared" si="18"/>
        <v>0.38600167092134063</v>
      </c>
      <c r="AC23" s="1">
        <f t="shared" si="17"/>
        <v>0.61399832907865937</v>
      </c>
      <c r="AD23" s="1">
        <f>ABS(AB23 - Sheet3!AB23)</f>
        <v>0.32199198916593286</v>
      </c>
      <c r="AF23" s="15">
        <f t="shared" si="14"/>
        <v>2</v>
      </c>
      <c r="AG23" s="15">
        <f t="shared" si="19"/>
        <v>0</v>
      </c>
    </row>
    <row r="24" spans="1:33" ht="27.6" x14ac:dyDescent="0.3">
      <c r="A24" s="2">
        <v>202208</v>
      </c>
      <c r="B24" s="6">
        <v>44790</v>
      </c>
      <c r="C24" s="3">
        <v>55</v>
      </c>
      <c r="D24" s="3">
        <v>78</v>
      </c>
      <c r="E24" s="3">
        <v>48</v>
      </c>
      <c r="F24" s="3">
        <v>17</v>
      </c>
      <c r="G24" s="3">
        <v>108</v>
      </c>
      <c r="H24" s="3">
        <v>25</v>
      </c>
      <c r="I24" s="3">
        <v>108</v>
      </c>
      <c r="J24" s="3" t="s">
        <v>25</v>
      </c>
      <c r="K24" s="3" t="s">
        <v>22</v>
      </c>
      <c r="L24" s="3" t="s">
        <v>23</v>
      </c>
      <c r="N24" s="1">
        <f t="shared" si="1"/>
        <v>0.48275862068965519</v>
      </c>
      <c r="O24" s="1">
        <f t="shared" si="2"/>
        <v>0.33333333333333331</v>
      </c>
      <c r="P24" s="1">
        <f t="shared" si="3"/>
        <v>0.25</v>
      </c>
      <c r="Q24" s="1">
        <f t="shared" si="4"/>
        <v>0.42105263157894735</v>
      </c>
      <c r="R24" s="1">
        <f t="shared" si="5"/>
        <v>0.55487804878048785</v>
      </c>
      <c r="S24" s="1">
        <f t="shared" si="6"/>
        <v>0.375</v>
      </c>
      <c r="T24" s="1">
        <f t="shared" si="7"/>
        <v>2.4170226343824237</v>
      </c>
      <c r="V24" s="1">
        <f>Sheet3!AB24^2</f>
        <v>0.38302562648106747</v>
      </c>
      <c r="W24" s="1">
        <f>Sheet3!AC24^2</f>
        <v>0.14524434292396429</v>
      </c>
      <c r="X24" s="1">
        <f t="shared" si="8"/>
        <v>21.066409456458711</v>
      </c>
      <c r="Y24" s="1">
        <f t="shared" si="16"/>
        <v>7.9884388608180359</v>
      </c>
      <c r="Z24" s="1">
        <f t="shared" si="10"/>
        <v>2969.8859000000002</v>
      </c>
      <c r="AA24" s="1">
        <f t="shared" si="11"/>
        <v>1565.1306999999997</v>
      </c>
      <c r="AB24" s="1">
        <f t="shared" si="18"/>
        <v>0.34512127254396369</v>
      </c>
      <c r="AC24" s="1">
        <f t="shared" ref="AC24:AC66" si="20">(1/AA24) / ((1/Z24) + (1/AA24))</f>
        <v>0.65487872745603626</v>
      </c>
      <c r="AD24" s="1">
        <f>ABS(AB24 - Sheet3!AB24)</f>
        <v>0.27376936923458789</v>
      </c>
      <c r="AF24" s="15">
        <f t="shared" si="14"/>
        <v>2</v>
      </c>
      <c r="AG24" s="15">
        <f t="shared" si="19"/>
        <v>1</v>
      </c>
    </row>
    <row r="25" spans="1:33" ht="27.6" x14ac:dyDescent="0.3">
      <c r="A25" s="2">
        <v>202208</v>
      </c>
      <c r="B25" s="6">
        <v>44789</v>
      </c>
      <c r="C25" s="3">
        <v>61</v>
      </c>
      <c r="D25" s="3">
        <v>89</v>
      </c>
      <c r="E25" s="3">
        <v>51</v>
      </c>
      <c r="F25" s="3">
        <v>15</v>
      </c>
      <c r="G25" s="3">
        <v>181</v>
      </c>
      <c r="H25" s="3">
        <v>33</v>
      </c>
      <c r="I25" s="3">
        <v>181</v>
      </c>
      <c r="J25" s="3" t="s">
        <v>25</v>
      </c>
      <c r="K25" s="3" t="s">
        <v>22</v>
      </c>
      <c r="L25" s="3" t="s">
        <v>23</v>
      </c>
      <c r="N25" s="1">
        <f t="shared" si="1"/>
        <v>0.58620689655172409</v>
      </c>
      <c r="O25" s="1">
        <f t="shared" si="2"/>
        <v>0.43809523809523809</v>
      </c>
      <c r="P25" s="1">
        <f t="shared" si="3"/>
        <v>0.5</v>
      </c>
      <c r="Q25" s="1">
        <f t="shared" si="4"/>
        <v>0.31578947368421051</v>
      </c>
      <c r="R25" s="1">
        <f t="shared" si="5"/>
        <v>1</v>
      </c>
      <c r="S25" s="1">
        <f t="shared" si="6"/>
        <v>0.625</v>
      </c>
      <c r="T25" s="1">
        <f t="shared" si="7"/>
        <v>3.4650916083311727</v>
      </c>
      <c r="V25" s="1">
        <f>Sheet3!AB25^2</f>
        <v>0.30505155534307632</v>
      </c>
      <c r="W25" s="1">
        <f>Sheet3!AC25^2</f>
        <v>0.20042210553997369</v>
      </c>
      <c r="X25" s="1">
        <f t="shared" si="8"/>
        <v>18.608144875927657</v>
      </c>
      <c r="Y25" s="1">
        <f t="shared" si="16"/>
        <v>12.225748437938396</v>
      </c>
      <c r="Z25" s="1">
        <f t="shared" si="10"/>
        <v>15572.525900000002</v>
      </c>
      <c r="AA25" s="1">
        <f t="shared" si="11"/>
        <v>8956.8107</v>
      </c>
      <c r="AB25" s="1">
        <f t="shared" si="18"/>
        <v>0.36514687886014813</v>
      </c>
      <c r="AC25" s="1">
        <f t="shared" si="20"/>
        <v>0.63485312113985182</v>
      </c>
      <c r="AD25" s="1">
        <f>ABS(AB25 - Sheet3!AB25)</f>
        <v>0.18716784604140319</v>
      </c>
      <c r="AF25" s="15">
        <f t="shared" si="14"/>
        <v>2</v>
      </c>
      <c r="AG25" s="15">
        <f t="shared" si="19"/>
        <v>1</v>
      </c>
    </row>
    <row r="26" spans="1:33" x14ac:dyDescent="0.3">
      <c r="A26" s="2">
        <v>202208</v>
      </c>
      <c r="B26" s="6">
        <v>44788</v>
      </c>
      <c r="C26" s="3">
        <v>64</v>
      </c>
      <c r="D26" s="3">
        <v>84</v>
      </c>
      <c r="E26" s="3">
        <v>50</v>
      </c>
      <c r="F26" s="3">
        <v>17</v>
      </c>
      <c r="G26" s="3">
        <v>63</v>
      </c>
      <c r="H26" s="3">
        <v>28</v>
      </c>
      <c r="I26" s="3">
        <v>84</v>
      </c>
      <c r="J26" s="3" t="s">
        <v>19</v>
      </c>
      <c r="K26" s="3" t="s">
        <v>20</v>
      </c>
      <c r="L26" s="3" t="s">
        <v>21</v>
      </c>
      <c r="N26" s="1">
        <f t="shared" si="1"/>
        <v>0.63793103448275867</v>
      </c>
      <c r="O26" s="1">
        <f t="shared" si="2"/>
        <v>0.39047619047619048</v>
      </c>
      <c r="P26" s="1">
        <f t="shared" si="3"/>
        <v>0.41666666666666669</v>
      </c>
      <c r="Q26" s="1">
        <f t="shared" si="4"/>
        <v>0.42105263157894735</v>
      </c>
      <c r="R26" s="1">
        <f t="shared" si="5"/>
        <v>0.28048780487804881</v>
      </c>
      <c r="S26" s="1">
        <f t="shared" si="6"/>
        <v>0.46875</v>
      </c>
      <c r="T26" s="1">
        <f t="shared" si="7"/>
        <v>2.6153643280826122</v>
      </c>
      <c r="V26" s="1">
        <f>Sheet3!AB26^2</f>
        <v>0.54642224331228884</v>
      </c>
      <c r="W26" s="1">
        <f>Sheet3!AC26^2</f>
        <v>6.801466309323595E-2</v>
      </c>
      <c r="X26" s="1">
        <f t="shared" si="8"/>
        <v>34.971023571986485</v>
      </c>
      <c r="Y26" s="1">
        <f t="shared" si="16"/>
        <v>4.3529384379671008</v>
      </c>
      <c r="Z26" s="1">
        <f t="shared" si="10"/>
        <v>136.62589999999997</v>
      </c>
      <c r="AA26" s="1">
        <f t="shared" si="11"/>
        <v>1374.4106999999999</v>
      </c>
      <c r="AB26" s="1">
        <f t="shared" si="18"/>
        <v>0.9095813430329881</v>
      </c>
      <c r="AC26" s="1">
        <f t="shared" si="20"/>
        <v>9.0418656967011915E-2</v>
      </c>
      <c r="AD26" s="1">
        <f>ABS(AB26 - Sheet3!AB26)</f>
        <v>0.17037755292346168</v>
      </c>
      <c r="AF26" s="15">
        <f t="shared" si="14"/>
        <v>1</v>
      </c>
      <c r="AG26" s="15">
        <f t="shared" si="19"/>
        <v>1</v>
      </c>
    </row>
    <row r="27" spans="1:33" x14ac:dyDescent="0.3">
      <c r="A27" s="2">
        <v>202208</v>
      </c>
      <c r="B27" s="6">
        <v>44787</v>
      </c>
      <c r="C27" s="3">
        <v>68</v>
      </c>
      <c r="D27" s="3">
        <v>93</v>
      </c>
      <c r="E27" s="3">
        <v>50</v>
      </c>
      <c r="F27" s="3">
        <v>14</v>
      </c>
      <c r="G27" s="3">
        <v>80</v>
      </c>
      <c r="H27" s="3">
        <v>20</v>
      </c>
      <c r="I27" s="3">
        <v>93</v>
      </c>
      <c r="J27" s="3" t="s">
        <v>19</v>
      </c>
      <c r="K27" s="3" t="s">
        <v>20</v>
      </c>
      <c r="L27" s="3" t="s">
        <v>21</v>
      </c>
      <c r="N27" s="1">
        <f t="shared" si="1"/>
        <v>0.7068965517241379</v>
      </c>
      <c r="O27" s="1">
        <f t="shared" si="2"/>
        <v>0.47619047619047616</v>
      </c>
      <c r="P27" s="1">
        <f t="shared" si="3"/>
        <v>0.41666666666666669</v>
      </c>
      <c r="Q27" s="1">
        <f t="shared" si="4"/>
        <v>0.26315789473684209</v>
      </c>
      <c r="R27" s="1">
        <f t="shared" si="5"/>
        <v>0.38414634146341464</v>
      </c>
      <c r="S27" s="1">
        <f t="shared" si="6"/>
        <v>0.21875</v>
      </c>
      <c r="T27" s="1">
        <f t="shared" si="7"/>
        <v>2.4658079307815375</v>
      </c>
      <c r="V27" s="1">
        <f>Sheet3!AB27^2</f>
        <v>0.48801223149254114</v>
      </c>
      <c r="W27" s="1">
        <f>Sheet3!AC27^2</f>
        <v>9.0854786545779054E-2</v>
      </c>
      <c r="X27" s="1">
        <f t="shared" si="8"/>
        <v>33.1848317414928</v>
      </c>
      <c r="Y27" s="1">
        <f t="shared" si="16"/>
        <v>6.1781254851129752</v>
      </c>
      <c r="Z27" s="1">
        <f t="shared" si="10"/>
        <v>627.72590000000014</v>
      </c>
      <c r="AA27" s="1">
        <f t="shared" si="11"/>
        <v>405.61069999999978</v>
      </c>
      <c r="AB27" s="1">
        <f t="shared" si="18"/>
        <v>0.39252524298471558</v>
      </c>
      <c r="AC27" s="1">
        <f t="shared" si="20"/>
        <v>0.60747475701528442</v>
      </c>
      <c r="AD27" s="1">
        <f>ABS(AB27 - Sheet3!AB27)</f>
        <v>0.30605347948866546</v>
      </c>
      <c r="AF27" s="15">
        <f t="shared" si="14"/>
        <v>2</v>
      </c>
      <c r="AG27" s="15">
        <f t="shared" si="19"/>
        <v>0</v>
      </c>
    </row>
    <row r="28" spans="1:33" x14ac:dyDescent="0.3">
      <c r="A28" s="2">
        <v>202208</v>
      </c>
      <c r="B28" s="6">
        <v>44786</v>
      </c>
      <c r="C28" s="3">
        <v>58</v>
      </c>
      <c r="D28" s="3">
        <v>77</v>
      </c>
      <c r="E28" s="3">
        <v>48</v>
      </c>
      <c r="F28" s="3">
        <v>21</v>
      </c>
      <c r="G28" s="3">
        <v>76</v>
      </c>
      <c r="H28" s="3">
        <v>36</v>
      </c>
      <c r="I28" s="3">
        <v>77</v>
      </c>
      <c r="J28" s="3" t="s">
        <v>19</v>
      </c>
      <c r="K28" s="3" t="s">
        <v>20</v>
      </c>
      <c r="L28" s="3" t="s">
        <v>24</v>
      </c>
      <c r="N28" s="1">
        <f t="shared" si="1"/>
        <v>0.53448275862068961</v>
      </c>
      <c r="O28" s="1">
        <f t="shared" si="2"/>
        <v>0.32380952380952382</v>
      </c>
      <c r="P28" s="1">
        <f t="shared" si="3"/>
        <v>0.25</v>
      </c>
      <c r="Q28" s="1">
        <f t="shared" si="4"/>
        <v>0.63157894736842102</v>
      </c>
      <c r="R28" s="1">
        <f t="shared" si="5"/>
        <v>0.3597560975609756</v>
      </c>
      <c r="S28" s="1">
        <f t="shared" si="6"/>
        <v>0.71875</v>
      </c>
      <c r="T28" s="1">
        <f t="shared" si="7"/>
        <v>2.81837732735961</v>
      </c>
      <c r="V28" s="1">
        <f>Sheet3!AB28^2</f>
        <v>0.47528998723060384</v>
      </c>
      <c r="W28" s="1">
        <f>Sheet3!AC28^2</f>
        <v>9.6464418522793943E-2</v>
      </c>
      <c r="X28" s="1">
        <f t="shared" si="8"/>
        <v>27.566819259375023</v>
      </c>
      <c r="Y28" s="1">
        <f t="shared" si="16"/>
        <v>5.5949362743220483</v>
      </c>
      <c r="Z28" s="1">
        <f t="shared" si="10"/>
        <v>793.80589999999995</v>
      </c>
      <c r="AA28" s="1">
        <f t="shared" si="11"/>
        <v>1482.4906999999996</v>
      </c>
      <c r="AB28" s="1">
        <f t="shared" si="18"/>
        <v>0.65127308102116388</v>
      </c>
      <c r="AC28" s="1">
        <f t="shared" si="20"/>
        <v>0.34872691897883612</v>
      </c>
      <c r="AD28" s="1">
        <f>ABS(AB28 - Sheet3!AB28)</f>
        <v>3.8139703332741082E-2</v>
      </c>
      <c r="AF28" s="15">
        <f t="shared" si="14"/>
        <v>1</v>
      </c>
      <c r="AG28" s="15">
        <f t="shared" si="19"/>
        <v>1</v>
      </c>
    </row>
    <row r="29" spans="1:33" x14ac:dyDescent="0.3">
      <c r="A29" s="2">
        <v>202208</v>
      </c>
      <c r="B29" s="6">
        <v>44785</v>
      </c>
      <c r="C29" s="3">
        <v>65</v>
      </c>
      <c r="D29" s="3">
        <v>94</v>
      </c>
      <c r="E29" s="3">
        <v>49</v>
      </c>
      <c r="F29" s="3">
        <v>17</v>
      </c>
      <c r="G29" s="3">
        <v>97</v>
      </c>
      <c r="H29" s="3">
        <v>25</v>
      </c>
      <c r="I29" s="3">
        <v>97</v>
      </c>
      <c r="J29" s="3" t="s">
        <v>25</v>
      </c>
      <c r="K29" s="3" t="s">
        <v>20</v>
      </c>
      <c r="L29" s="3" t="s">
        <v>23</v>
      </c>
      <c r="N29" s="1">
        <f t="shared" si="1"/>
        <v>0.65517241379310343</v>
      </c>
      <c r="O29" s="1">
        <f t="shared" si="2"/>
        <v>0.48571428571428571</v>
      </c>
      <c r="P29" s="1">
        <f t="shared" si="3"/>
        <v>0.33333333333333331</v>
      </c>
      <c r="Q29" s="1">
        <f t="shared" si="4"/>
        <v>0.42105263157894735</v>
      </c>
      <c r="R29" s="1">
        <f t="shared" si="5"/>
        <v>0.48780487804878048</v>
      </c>
      <c r="S29" s="1">
        <f t="shared" si="6"/>
        <v>0.375</v>
      </c>
      <c r="T29" s="1">
        <f t="shared" si="7"/>
        <v>2.7580775424684503</v>
      </c>
      <c r="V29" s="1">
        <f>Sheet3!AB29^2</f>
        <v>0.42636198332652697</v>
      </c>
      <c r="W29" s="1">
        <f>Sheet3!AC29^2</f>
        <v>0.1204339863427316</v>
      </c>
      <c r="X29" s="1">
        <f t="shared" si="8"/>
        <v>27.713528916224252</v>
      </c>
      <c r="Y29" s="1">
        <f t="shared" si="16"/>
        <v>7.8282091122775537</v>
      </c>
      <c r="Z29" s="1">
        <f t="shared" si="10"/>
        <v>1650.2259000000001</v>
      </c>
      <c r="AA29" s="1">
        <f t="shared" si="11"/>
        <v>321.63069999999982</v>
      </c>
      <c r="AB29" s="1">
        <f t="shared" si="18"/>
        <v>0.16311059333624964</v>
      </c>
      <c r="AC29" s="1">
        <f t="shared" si="20"/>
        <v>0.83688940666375033</v>
      </c>
      <c r="AD29" s="1">
        <f>ABS(AB29 - Sheet3!AB29)</f>
        <v>0.48985340515564801</v>
      </c>
      <c r="AF29" s="15">
        <f t="shared" si="14"/>
        <v>2</v>
      </c>
      <c r="AG29" s="15">
        <f t="shared" si="19"/>
        <v>0</v>
      </c>
    </row>
    <row r="30" spans="1:33" ht="27.6" x14ac:dyDescent="0.3">
      <c r="A30" s="2">
        <v>202208</v>
      </c>
      <c r="B30" s="6">
        <v>44784</v>
      </c>
      <c r="C30" s="3">
        <v>74</v>
      </c>
      <c r="D30" s="3">
        <v>107</v>
      </c>
      <c r="E30" s="3">
        <v>52</v>
      </c>
      <c r="F30" s="3">
        <v>19</v>
      </c>
      <c r="G30" s="3">
        <v>80</v>
      </c>
      <c r="H30" s="3">
        <v>27</v>
      </c>
      <c r="I30" s="3">
        <v>107</v>
      </c>
      <c r="J30" s="3" t="s">
        <v>19</v>
      </c>
      <c r="K30" s="3" t="s">
        <v>22</v>
      </c>
      <c r="L30" s="3" t="s">
        <v>21</v>
      </c>
      <c r="N30" s="1">
        <f t="shared" si="1"/>
        <v>0.81034482758620685</v>
      </c>
      <c r="O30" s="1">
        <f t="shared" si="2"/>
        <v>0.60952380952380958</v>
      </c>
      <c r="P30" s="1">
        <f t="shared" si="3"/>
        <v>0.58333333333333337</v>
      </c>
      <c r="Q30" s="1">
        <f t="shared" si="4"/>
        <v>0.52631578947368418</v>
      </c>
      <c r="R30" s="1">
        <f t="shared" si="5"/>
        <v>0.38414634146341464</v>
      </c>
      <c r="S30" s="1">
        <f t="shared" si="6"/>
        <v>0.4375</v>
      </c>
      <c r="T30" s="1">
        <f t="shared" si="7"/>
        <v>3.3511641013804487</v>
      </c>
      <c r="V30" s="1">
        <f>Sheet3!AB30^2</f>
        <v>0.40160174538715426</v>
      </c>
      <c r="W30" s="1">
        <f>Sheet3!AC30^2</f>
        <v>0.13416062977325047</v>
      </c>
      <c r="X30" s="1">
        <f t="shared" si="8"/>
        <v>29.718529158649414</v>
      </c>
      <c r="Y30" s="1">
        <f t="shared" si="16"/>
        <v>9.927886603220534</v>
      </c>
      <c r="Z30" s="1">
        <f t="shared" si="10"/>
        <v>863.30590000000029</v>
      </c>
      <c r="AA30" s="1">
        <f t="shared" si="11"/>
        <v>113.77069999999991</v>
      </c>
      <c r="AB30" s="1">
        <f t="shared" si="18"/>
        <v>0.11643989836620781</v>
      </c>
      <c r="AC30" s="1">
        <f t="shared" si="20"/>
        <v>0.88356010163379217</v>
      </c>
      <c r="AD30" s="1">
        <f>ABS(AB30 - Sheet3!AB30)</f>
        <v>0.51728065944074408</v>
      </c>
      <c r="AF30" s="15">
        <f t="shared" si="14"/>
        <v>2</v>
      </c>
      <c r="AG30" s="15">
        <f t="shared" si="19"/>
        <v>1</v>
      </c>
    </row>
    <row r="31" spans="1:33" ht="27.6" x14ac:dyDescent="0.3">
      <c r="A31" s="2">
        <v>202208</v>
      </c>
      <c r="B31" s="6">
        <v>44783</v>
      </c>
      <c r="C31" s="3">
        <v>73</v>
      </c>
      <c r="D31" s="3">
        <v>116</v>
      </c>
      <c r="E31" s="3">
        <v>49</v>
      </c>
      <c r="F31" s="3">
        <v>19</v>
      </c>
      <c r="G31" s="3">
        <v>82</v>
      </c>
      <c r="H31" s="3">
        <v>29</v>
      </c>
      <c r="I31" s="3">
        <v>116</v>
      </c>
      <c r="J31" s="3" t="s">
        <v>19</v>
      </c>
      <c r="K31" s="3" t="s">
        <v>22</v>
      </c>
      <c r="L31" s="3" t="s">
        <v>21</v>
      </c>
      <c r="N31" s="1">
        <f t="shared" si="1"/>
        <v>0.7931034482758621</v>
      </c>
      <c r="O31" s="1">
        <f t="shared" si="2"/>
        <v>0.69523809523809521</v>
      </c>
      <c r="P31" s="1">
        <f t="shared" si="3"/>
        <v>0.33333333333333331</v>
      </c>
      <c r="Q31" s="1">
        <f t="shared" si="4"/>
        <v>0.52631578947368418</v>
      </c>
      <c r="R31" s="1">
        <f t="shared" si="5"/>
        <v>0.39634146341463417</v>
      </c>
      <c r="S31" s="1">
        <f t="shared" si="6"/>
        <v>0.5</v>
      </c>
      <c r="T31" s="1">
        <f t="shared" si="7"/>
        <v>3.2443321297356089</v>
      </c>
      <c r="V31" s="1">
        <f>Sheet3!AB31^2</f>
        <v>0.36358362145539791</v>
      </c>
      <c r="W31" s="1">
        <f>Sheet3!AC31^2</f>
        <v>0.15762570932844824</v>
      </c>
      <c r="X31" s="1">
        <f t="shared" si="8"/>
        <v>26.541604366244048</v>
      </c>
      <c r="Y31" s="1">
        <f t="shared" si="16"/>
        <v>11.506676780976722</v>
      </c>
      <c r="Z31" s="1">
        <f t="shared" si="10"/>
        <v>1266.5459000000001</v>
      </c>
      <c r="AA31" s="1">
        <f t="shared" si="11"/>
        <v>117.21070000000005</v>
      </c>
      <c r="AB31" s="1">
        <f t="shared" si="18"/>
        <v>8.4704708906176152E-2</v>
      </c>
      <c r="AC31" s="1">
        <f t="shared" si="20"/>
        <v>0.91529529109382379</v>
      </c>
      <c r="AD31" s="1">
        <f>ABS(AB31 - Sheet3!AB31)</f>
        <v>0.51827424715729875</v>
      </c>
      <c r="AF31" s="15">
        <f t="shared" si="14"/>
        <v>2</v>
      </c>
      <c r="AG31" s="15">
        <f t="shared" si="19"/>
        <v>1</v>
      </c>
    </row>
    <row r="32" spans="1:33" ht="27.6" x14ac:dyDescent="0.3">
      <c r="A32" s="2">
        <v>202208</v>
      </c>
      <c r="B32" s="6">
        <v>44782</v>
      </c>
      <c r="C32" s="3">
        <v>61</v>
      </c>
      <c r="D32" s="3">
        <v>88</v>
      </c>
      <c r="E32" s="3">
        <v>50</v>
      </c>
      <c r="F32" s="3">
        <v>14</v>
      </c>
      <c r="G32" s="3">
        <v>103</v>
      </c>
      <c r="H32" s="3">
        <v>21</v>
      </c>
      <c r="I32" s="3">
        <v>103</v>
      </c>
      <c r="J32" s="3" t="s">
        <v>25</v>
      </c>
      <c r="K32" s="3" t="s">
        <v>22</v>
      </c>
      <c r="L32" s="3" t="s">
        <v>23</v>
      </c>
      <c r="N32" s="1">
        <f t="shared" si="1"/>
        <v>0.58620689655172409</v>
      </c>
      <c r="O32" s="1">
        <f t="shared" si="2"/>
        <v>0.42857142857142855</v>
      </c>
      <c r="P32" s="1">
        <f t="shared" si="3"/>
        <v>0.41666666666666669</v>
      </c>
      <c r="Q32" s="1">
        <f t="shared" si="4"/>
        <v>0.26315789473684209</v>
      </c>
      <c r="R32" s="1">
        <f t="shared" si="5"/>
        <v>0.52439024390243905</v>
      </c>
      <c r="S32" s="1">
        <f t="shared" si="6"/>
        <v>0.25</v>
      </c>
      <c r="T32" s="1">
        <f t="shared" si="7"/>
        <v>2.4689931304291006</v>
      </c>
      <c r="V32" s="1">
        <f>Sheet3!AB32^2</f>
        <v>0.4013252435586791</v>
      </c>
      <c r="W32" s="1">
        <f>Sheet3!AC32^2</f>
        <v>0.13432051813942619</v>
      </c>
      <c r="X32" s="1">
        <f t="shared" si="8"/>
        <v>24.480839857079424</v>
      </c>
      <c r="Y32" s="1">
        <f t="shared" si="16"/>
        <v>8.1935516065049985</v>
      </c>
      <c r="Z32" s="1">
        <f t="shared" si="10"/>
        <v>2237.4059000000007</v>
      </c>
      <c r="AA32" s="1">
        <f t="shared" si="11"/>
        <v>764.59069999999997</v>
      </c>
      <c r="AB32" s="1">
        <f t="shared" si="18"/>
        <v>0.2546940592804135</v>
      </c>
      <c r="AC32" s="1">
        <f t="shared" si="20"/>
        <v>0.74530594071958645</v>
      </c>
      <c r="AD32" s="1">
        <f>ABS(AB32 - Sheet3!AB32)</f>
        <v>0.37880830342921296</v>
      </c>
      <c r="AF32" s="15">
        <f t="shared" si="14"/>
        <v>2</v>
      </c>
      <c r="AG32" s="15">
        <f t="shared" si="19"/>
        <v>1</v>
      </c>
    </row>
    <row r="33" spans="1:33" x14ac:dyDescent="0.3">
      <c r="A33" s="2">
        <v>202208</v>
      </c>
      <c r="B33" s="6">
        <v>44781</v>
      </c>
      <c r="C33" s="3">
        <v>60</v>
      </c>
      <c r="D33" s="3">
        <v>84</v>
      </c>
      <c r="E33" s="3">
        <v>48</v>
      </c>
      <c r="F33" s="3">
        <v>18</v>
      </c>
      <c r="G33" s="3">
        <v>97</v>
      </c>
      <c r="H33" s="3">
        <v>27</v>
      </c>
      <c r="I33" s="3">
        <v>97</v>
      </c>
      <c r="J33" s="3" t="s">
        <v>25</v>
      </c>
      <c r="K33" s="3" t="s">
        <v>20</v>
      </c>
      <c r="L33" s="3" t="s">
        <v>23</v>
      </c>
      <c r="N33" s="1">
        <f t="shared" si="1"/>
        <v>0.56896551724137934</v>
      </c>
      <c r="O33" s="1">
        <f t="shared" si="2"/>
        <v>0.39047619047619048</v>
      </c>
      <c r="P33" s="1">
        <f t="shared" si="3"/>
        <v>0.25</v>
      </c>
      <c r="Q33" s="1">
        <f t="shared" si="4"/>
        <v>0.47368421052631576</v>
      </c>
      <c r="R33" s="1">
        <f t="shared" si="5"/>
        <v>0.48780487804878048</v>
      </c>
      <c r="S33" s="1">
        <f t="shared" si="6"/>
        <v>0.4375</v>
      </c>
      <c r="T33" s="1">
        <f t="shared" si="7"/>
        <v>2.6084307962926658</v>
      </c>
      <c r="V33" s="1">
        <f>Sheet3!AB33^2</f>
        <v>0.42930075121073147</v>
      </c>
      <c r="W33" s="1">
        <f>Sheet3!AC33^2</f>
        <v>0.11887982462152064</v>
      </c>
      <c r="X33" s="1">
        <f t="shared" si="8"/>
        <v>25.758045072643888</v>
      </c>
      <c r="Y33" s="1">
        <f t="shared" si="16"/>
        <v>7.1327894772912384</v>
      </c>
      <c r="Z33" s="1">
        <f t="shared" si="10"/>
        <v>1750.1659000000002</v>
      </c>
      <c r="AA33" s="1">
        <f t="shared" si="11"/>
        <v>806.93069999999977</v>
      </c>
      <c r="AB33" s="1">
        <f t="shared" si="18"/>
        <v>0.31556520000065691</v>
      </c>
      <c r="AC33" s="1">
        <f t="shared" si="20"/>
        <v>0.68443479999934309</v>
      </c>
      <c r="AD33" s="1">
        <f>ABS(AB33 - Sheet3!AB33)</f>
        <v>0.33964526329394851</v>
      </c>
      <c r="AF33" s="15">
        <f t="shared" si="14"/>
        <v>2</v>
      </c>
      <c r="AG33" s="15">
        <f t="shared" si="19"/>
        <v>0</v>
      </c>
    </row>
    <row r="34" spans="1:33" ht="27.6" x14ac:dyDescent="0.3">
      <c r="A34" s="2">
        <v>202208</v>
      </c>
      <c r="B34" s="6">
        <v>44780</v>
      </c>
      <c r="C34" s="3">
        <v>76</v>
      </c>
      <c r="D34" s="3">
        <v>119</v>
      </c>
      <c r="E34" s="3">
        <v>50</v>
      </c>
      <c r="F34" s="3">
        <v>18</v>
      </c>
      <c r="G34" s="3">
        <v>114</v>
      </c>
      <c r="H34" s="3">
        <v>29</v>
      </c>
      <c r="I34" s="3">
        <v>119</v>
      </c>
      <c r="J34" s="3" t="s">
        <v>19</v>
      </c>
      <c r="K34" s="3" t="s">
        <v>22</v>
      </c>
      <c r="L34" s="3" t="s">
        <v>21</v>
      </c>
      <c r="N34" s="1">
        <f t="shared" si="1"/>
        <v>0.84482758620689657</v>
      </c>
      <c r="O34" s="1">
        <f t="shared" si="2"/>
        <v>0.72380952380952379</v>
      </c>
      <c r="P34" s="1">
        <f t="shared" si="3"/>
        <v>0.41666666666666669</v>
      </c>
      <c r="Q34" s="1">
        <f t="shared" si="4"/>
        <v>0.47368421052631576</v>
      </c>
      <c r="R34" s="1">
        <f t="shared" si="5"/>
        <v>0.59146341463414631</v>
      </c>
      <c r="S34" s="1">
        <f t="shared" si="6"/>
        <v>0.5</v>
      </c>
      <c r="T34" s="1">
        <f t="shared" si="7"/>
        <v>3.5504514018435489</v>
      </c>
      <c r="V34" s="1">
        <f>Sheet3!AB34^2</f>
        <v>0.3387254573263026</v>
      </c>
      <c r="W34" s="1">
        <f>Sheet3!AC34^2</f>
        <v>0.1747229533319124</v>
      </c>
      <c r="X34" s="1">
        <f t="shared" si="8"/>
        <v>25.743134756798998</v>
      </c>
      <c r="Y34" s="1">
        <f t="shared" si="16"/>
        <v>13.278944453225343</v>
      </c>
      <c r="Z34" s="1">
        <f t="shared" si="10"/>
        <v>4130.2259000000004</v>
      </c>
      <c r="AA34" s="1">
        <f t="shared" si="11"/>
        <v>744.05070000000012</v>
      </c>
      <c r="AB34" s="1">
        <f t="shared" si="18"/>
        <v>0.15264843607767356</v>
      </c>
      <c r="AC34" s="1">
        <f t="shared" si="20"/>
        <v>0.84735156392232647</v>
      </c>
      <c r="AD34" s="1">
        <f>ABS(AB34 - Sheet3!AB34)</f>
        <v>0.42935281591952157</v>
      </c>
      <c r="AF34" s="15">
        <f t="shared" si="14"/>
        <v>2</v>
      </c>
      <c r="AG34" s="15">
        <f t="shared" si="19"/>
        <v>1</v>
      </c>
    </row>
    <row r="35" spans="1:33" ht="27.6" x14ac:dyDescent="0.3">
      <c r="A35" s="2">
        <v>202208</v>
      </c>
      <c r="B35" s="6">
        <v>44779</v>
      </c>
      <c r="C35" s="3">
        <v>69</v>
      </c>
      <c r="D35" s="3">
        <v>101</v>
      </c>
      <c r="E35" s="3">
        <v>49</v>
      </c>
      <c r="F35" s="3">
        <v>19</v>
      </c>
      <c r="G35" s="3">
        <v>87</v>
      </c>
      <c r="H35" s="3">
        <v>29</v>
      </c>
      <c r="I35" s="3">
        <v>101</v>
      </c>
      <c r="J35" s="3" t="s">
        <v>19</v>
      </c>
      <c r="K35" s="3" t="s">
        <v>22</v>
      </c>
      <c r="L35" s="3" t="s">
        <v>21</v>
      </c>
      <c r="N35" s="1">
        <f t="shared" si="1"/>
        <v>0.72413793103448276</v>
      </c>
      <c r="O35" s="1">
        <f t="shared" si="2"/>
        <v>0.55238095238095242</v>
      </c>
      <c r="P35" s="1">
        <f t="shared" si="3"/>
        <v>0.33333333333333331</v>
      </c>
      <c r="Q35" s="1">
        <f t="shared" si="4"/>
        <v>0.52631578947368418</v>
      </c>
      <c r="R35" s="1">
        <f t="shared" si="5"/>
        <v>0.42682926829268292</v>
      </c>
      <c r="S35" s="1">
        <f t="shared" si="6"/>
        <v>0.5</v>
      </c>
      <c r="T35" s="1">
        <f t="shared" si="7"/>
        <v>3.0629972745151357</v>
      </c>
      <c r="V35" s="1">
        <f>Sheet3!AB35^2</f>
        <v>0.44876217051474637</v>
      </c>
      <c r="W35" s="1">
        <f>Sheet3!AC35^2</f>
        <v>0.10896790195744825</v>
      </c>
      <c r="X35" s="1">
        <f t="shared" si="8"/>
        <v>30.964589765517498</v>
      </c>
      <c r="Y35" s="1">
        <f t="shared" si="16"/>
        <v>7.5187852350639295</v>
      </c>
      <c r="Z35" s="1">
        <f t="shared" si="10"/>
        <v>1035.2059000000002</v>
      </c>
      <c r="AA35" s="1">
        <f t="shared" si="11"/>
        <v>85.810699999999912</v>
      </c>
      <c r="AB35" s="1">
        <f t="shared" si="18"/>
        <v>7.6547216160759712E-2</v>
      </c>
      <c r="AC35" s="1">
        <f t="shared" si="20"/>
        <v>0.92345278383924034</v>
      </c>
      <c r="AD35" s="1">
        <f>ABS(AB35 - Sheet3!AB35)</f>
        <v>0.5933499181178894</v>
      </c>
      <c r="AF35" s="15">
        <f t="shared" si="14"/>
        <v>2</v>
      </c>
      <c r="AG35" s="15">
        <f t="shared" si="19"/>
        <v>1</v>
      </c>
    </row>
    <row r="36" spans="1:33" x14ac:dyDescent="0.3">
      <c r="A36" s="2">
        <v>202208</v>
      </c>
      <c r="B36" s="6">
        <v>44778</v>
      </c>
      <c r="C36" s="3">
        <v>60</v>
      </c>
      <c r="D36" s="3">
        <v>82</v>
      </c>
      <c r="E36" s="3">
        <v>47</v>
      </c>
      <c r="F36" s="3">
        <v>17</v>
      </c>
      <c r="G36" s="3">
        <v>79</v>
      </c>
      <c r="H36" s="3">
        <v>26</v>
      </c>
      <c r="I36" s="3">
        <v>82</v>
      </c>
      <c r="J36" s="3" t="s">
        <v>19</v>
      </c>
      <c r="K36" s="3" t="s">
        <v>20</v>
      </c>
      <c r="L36" s="3" t="s">
        <v>21</v>
      </c>
      <c r="N36" s="1">
        <f t="shared" si="1"/>
        <v>0.56896551724137934</v>
      </c>
      <c r="O36" s="1">
        <f t="shared" si="2"/>
        <v>0.37142857142857144</v>
      </c>
      <c r="P36" s="1">
        <f t="shared" si="3"/>
        <v>0.16666666666666666</v>
      </c>
      <c r="Q36" s="1">
        <f t="shared" si="4"/>
        <v>0.42105263157894735</v>
      </c>
      <c r="R36" s="1">
        <f t="shared" si="5"/>
        <v>0.37804878048780488</v>
      </c>
      <c r="S36" s="1">
        <f t="shared" si="6"/>
        <v>0.40625</v>
      </c>
      <c r="T36" s="1">
        <f t="shared" si="7"/>
        <v>2.3124121674033695</v>
      </c>
      <c r="V36" s="1">
        <f>Sheet3!AB36^2</f>
        <v>0.53784893395245237</v>
      </c>
      <c r="W36" s="1">
        <f>Sheet3!AC36^2</f>
        <v>7.1085239347963763E-2</v>
      </c>
      <c r="X36" s="1">
        <f t="shared" si="8"/>
        <v>32.270936037147145</v>
      </c>
      <c r="Y36" s="1">
        <f t="shared" si="16"/>
        <v>4.2651143608778259</v>
      </c>
      <c r="Z36" s="1">
        <f t="shared" si="10"/>
        <v>660.92590000000007</v>
      </c>
      <c r="AA36" s="1">
        <f t="shared" si="11"/>
        <v>962.89069999999981</v>
      </c>
      <c r="AB36" s="1">
        <f t="shared" si="18"/>
        <v>0.59297995845097273</v>
      </c>
      <c r="AC36" s="1">
        <f t="shared" si="20"/>
        <v>0.40702004154902721</v>
      </c>
      <c r="AD36" s="1">
        <f>ABS(AB36 - Sheet3!AB36)</f>
        <v>0.14040188885127158</v>
      </c>
      <c r="AF36" s="15">
        <f t="shared" si="14"/>
        <v>1</v>
      </c>
      <c r="AG36" s="15">
        <f t="shared" si="19"/>
        <v>1</v>
      </c>
    </row>
    <row r="37" spans="1:33" x14ac:dyDescent="0.3">
      <c r="A37" s="2">
        <v>202208</v>
      </c>
      <c r="B37" s="6">
        <v>44777</v>
      </c>
      <c r="C37" s="3">
        <v>69</v>
      </c>
      <c r="D37" s="3">
        <v>99</v>
      </c>
      <c r="E37" s="3">
        <v>48</v>
      </c>
      <c r="F37" s="3">
        <v>15</v>
      </c>
      <c r="G37" s="3">
        <v>82</v>
      </c>
      <c r="H37" s="3">
        <v>20</v>
      </c>
      <c r="I37" s="3">
        <v>99</v>
      </c>
      <c r="J37" s="3" t="s">
        <v>19</v>
      </c>
      <c r="K37" s="3" t="s">
        <v>20</v>
      </c>
      <c r="L37" s="3" t="s">
        <v>21</v>
      </c>
      <c r="N37" s="1">
        <f t="shared" si="1"/>
        <v>0.72413793103448276</v>
      </c>
      <c r="O37" s="1">
        <f t="shared" si="2"/>
        <v>0.53333333333333333</v>
      </c>
      <c r="P37" s="1">
        <f t="shared" si="3"/>
        <v>0.25</v>
      </c>
      <c r="Q37" s="1">
        <f t="shared" si="4"/>
        <v>0.31578947368421051</v>
      </c>
      <c r="R37" s="1">
        <f t="shared" si="5"/>
        <v>0.39634146341463417</v>
      </c>
      <c r="S37" s="1">
        <f t="shared" si="6"/>
        <v>0.21875</v>
      </c>
      <c r="T37" s="1">
        <f t="shared" si="7"/>
        <v>2.4383522014666608</v>
      </c>
      <c r="V37" s="1">
        <f>Sheet3!AB37^2</f>
        <v>0.45974734576126636</v>
      </c>
      <c r="W37" s="1">
        <f>Sheet3!AC37^2</f>
        <v>0.10365391865343415</v>
      </c>
      <c r="X37" s="1">
        <f t="shared" si="8"/>
        <v>31.722566857527379</v>
      </c>
      <c r="Y37" s="1">
        <f t="shared" si="16"/>
        <v>7.1521203870869563</v>
      </c>
      <c r="Z37" s="1">
        <f t="shared" si="10"/>
        <v>766.76590000000022</v>
      </c>
      <c r="AA37" s="1">
        <f t="shared" si="11"/>
        <v>205.99069999999989</v>
      </c>
      <c r="AB37" s="1">
        <f t="shared" si="18"/>
        <v>0.21175975572923367</v>
      </c>
      <c r="AC37" s="1">
        <f t="shared" si="20"/>
        <v>0.78824024427076633</v>
      </c>
      <c r="AD37" s="1">
        <f>ABS(AB37 - Sheet3!AB37)</f>
        <v>0.46628695782468244</v>
      </c>
      <c r="AF37" s="15">
        <f t="shared" si="14"/>
        <v>2</v>
      </c>
      <c r="AG37" s="15">
        <f t="shared" si="19"/>
        <v>0</v>
      </c>
    </row>
    <row r="38" spans="1:33" ht="27.6" x14ac:dyDescent="0.3">
      <c r="A38" s="2">
        <v>202208</v>
      </c>
      <c r="B38" s="6">
        <v>44776</v>
      </c>
      <c r="C38" s="3">
        <v>82</v>
      </c>
      <c r="D38" s="3">
        <v>141</v>
      </c>
      <c r="E38" s="3">
        <v>51</v>
      </c>
      <c r="F38" s="3">
        <v>19</v>
      </c>
      <c r="G38" s="3">
        <v>129</v>
      </c>
      <c r="H38" s="3">
        <v>24</v>
      </c>
      <c r="I38" s="3">
        <v>141</v>
      </c>
      <c r="J38" s="3" t="s">
        <v>19</v>
      </c>
      <c r="K38" s="3" t="s">
        <v>22</v>
      </c>
      <c r="L38" s="3" t="s">
        <v>21</v>
      </c>
      <c r="N38" s="1">
        <f t="shared" si="1"/>
        <v>0.94827586206896552</v>
      </c>
      <c r="O38" s="1">
        <f t="shared" si="2"/>
        <v>0.93333333333333335</v>
      </c>
      <c r="P38" s="1">
        <f t="shared" si="3"/>
        <v>0.5</v>
      </c>
      <c r="Q38" s="1">
        <f t="shared" si="4"/>
        <v>0.52631578947368418</v>
      </c>
      <c r="R38" s="1">
        <f t="shared" si="5"/>
        <v>0.68292682926829273</v>
      </c>
      <c r="S38" s="1">
        <f t="shared" si="6"/>
        <v>0.34375</v>
      </c>
      <c r="T38" s="1">
        <f t="shared" si="7"/>
        <v>3.9346018141442758</v>
      </c>
      <c r="V38" s="1">
        <f>Sheet3!AB38^2</f>
        <v>0.306035231145947</v>
      </c>
      <c r="W38" s="1">
        <f>Sheet3!AC38^2</f>
        <v>0.19962620886540361</v>
      </c>
      <c r="X38" s="1">
        <f t="shared" si="8"/>
        <v>25.094888953967654</v>
      </c>
      <c r="Y38" s="1">
        <f t="shared" si="16"/>
        <v>16.369349126963098</v>
      </c>
      <c r="Z38" s="1">
        <f t="shared" si="10"/>
        <v>7882.425900000002</v>
      </c>
      <c r="AA38" s="1">
        <f t="shared" si="11"/>
        <v>2726.7107000000005</v>
      </c>
      <c r="AB38" s="1">
        <f t="shared" si="18"/>
        <v>0.25701532582773984</v>
      </c>
      <c r="AC38" s="1">
        <f t="shared" si="20"/>
        <v>0.74298467417226011</v>
      </c>
      <c r="AD38" s="1">
        <f>ABS(AB38 - Sheet3!AB38)</f>
        <v>0.29618918531253186</v>
      </c>
      <c r="AF38" s="15">
        <f t="shared" si="14"/>
        <v>2</v>
      </c>
      <c r="AG38" s="15">
        <f t="shared" si="19"/>
        <v>1</v>
      </c>
    </row>
    <row r="39" spans="1:33" ht="27.6" x14ac:dyDescent="0.3">
      <c r="A39" s="2">
        <v>202208</v>
      </c>
      <c r="B39" s="6">
        <v>44775</v>
      </c>
      <c r="C39" s="3">
        <v>67</v>
      </c>
      <c r="D39" s="3">
        <v>113</v>
      </c>
      <c r="E39" s="3">
        <v>50</v>
      </c>
      <c r="F39" s="3">
        <v>15</v>
      </c>
      <c r="G39" s="3">
        <v>84</v>
      </c>
      <c r="H39" s="3">
        <v>28</v>
      </c>
      <c r="I39" s="3">
        <v>113</v>
      </c>
      <c r="J39" s="3" t="s">
        <v>19</v>
      </c>
      <c r="K39" s="3" t="s">
        <v>22</v>
      </c>
      <c r="L39" s="3" t="s">
        <v>21</v>
      </c>
      <c r="N39" s="1">
        <f t="shared" si="1"/>
        <v>0.68965517241379315</v>
      </c>
      <c r="O39" s="1">
        <f t="shared" si="2"/>
        <v>0.66666666666666663</v>
      </c>
      <c r="P39" s="1">
        <f t="shared" si="3"/>
        <v>0.41666666666666669</v>
      </c>
      <c r="Q39" s="1">
        <f t="shared" si="4"/>
        <v>0.31578947368421051</v>
      </c>
      <c r="R39" s="1">
        <f t="shared" si="5"/>
        <v>0.40853658536585363</v>
      </c>
      <c r="S39" s="1">
        <f t="shared" si="6"/>
        <v>0.46875</v>
      </c>
      <c r="T39" s="1">
        <f t="shared" si="7"/>
        <v>2.9660645647971906</v>
      </c>
      <c r="V39" s="1">
        <f>Sheet3!AB39^2</f>
        <v>0.39295292556551825</v>
      </c>
      <c r="W39" s="1">
        <f>Sheet3!AC39^2</f>
        <v>0.13923377748566498</v>
      </c>
      <c r="X39" s="1">
        <f t="shared" si="8"/>
        <v>26.327846012889722</v>
      </c>
      <c r="Y39" s="1">
        <f t="shared" si="16"/>
        <v>9.3286630915395534</v>
      </c>
      <c r="Z39" s="1">
        <f t="shared" si="10"/>
        <v>1154.1259000000002</v>
      </c>
      <c r="AA39" s="1">
        <f t="shared" si="11"/>
        <v>64.590700000000041</v>
      </c>
      <c r="AB39" s="1">
        <f t="shared" si="18"/>
        <v>5.2998949878913626E-2</v>
      </c>
      <c r="AC39" s="1">
        <f t="shared" si="20"/>
        <v>0.94700105012108637</v>
      </c>
      <c r="AD39" s="1">
        <f>ABS(AB39 - Sheet3!AB39)</f>
        <v>0.57386062416101302</v>
      </c>
      <c r="AF39" s="15">
        <f t="shared" si="14"/>
        <v>2</v>
      </c>
      <c r="AG39" s="15">
        <f t="shared" si="19"/>
        <v>1</v>
      </c>
    </row>
    <row r="40" spans="1:33" ht="27.6" x14ac:dyDescent="0.3">
      <c r="A40" s="2">
        <v>202209</v>
      </c>
      <c r="B40" s="6">
        <v>44805</v>
      </c>
      <c r="C40" s="3">
        <v>83</v>
      </c>
      <c r="D40" s="3">
        <v>130</v>
      </c>
      <c r="E40" s="3">
        <v>51</v>
      </c>
      <c r="F40" s="3">
        <v>15</v>
      </c>
      <c r="G40" s="3">
        <v>42</v>
      </c>
      <c r="H40" s="3">
        <v>25</v>
      </c>
      <c r="I40" s="3">
        <v>130</v>
      </c>
      <c r="J40" s="3" t="s">
        <v>19</v>
      </c>
      <c r="K40" s="3" t="s">
        <v>22</v>
      </c>
      <c r="L40" s="3" t="s">
        <v>21</v>
      </c>
      <c r="N40" s="1">
        <f t="shared" si="1"/>
        <v>0.96551724137931039</v>
      </c>
      <c r="O40" s="1">
        <f t="shared" si="2"/>
        <v>0.82857142857142863</v>
      </c>
      <c r="P40" s="1">
        <f t="shared" si="3"/>
        <v>0.5</v>
      </c>
      <c r="Q40" s="1">
        <f t="shared" si="4"/>
        <v>0.31578947368421051</v>
      </c>
      <c r="R40" s="1">
        <f t="shared" si="5"/>
        <v>0.1524390243902439</v>
      </c>
      <c r="S40" s="1">
        <f t="shared" si="6"/>
        <v>0.375</v>
      </c>
      <c r="T40" s="1">
        <f t="shared" si="7"/>
        <v>3.1373171680251932</v>
      </c>
      <c r="V40" s="1">
        <f>Sheet3!AB40^2</f>
        <v>0.19563703219118697</v>
      </c>
      <c r="W40" s="1">
        <f>Sheet3!AC40^2</f>
        <v>0.3110195279755244</v>
      </c>
      <c r="X40" s="1">
        <f t="shared" si="8"/>
        <v>16.23787367186852</v>
      </c>
      <c r="Y40" s="1">
        <f t="shared" si="16"/>
        <v>25.814620821968525</v>
      </c>
      <c r="Z40" s="1">
        <f t="shared" si="10"/>
        <v>1938.9459000000002</v>
      </c>
      <c r="AA40" s="1">
        <f t="shared" si="11"/>
        <v>2839.4506999999994</v>
      </c>
      <c r="AB40" s="1">
        <f t="shared" si="18"/>
        <v>0.59422667009264152</v>
      </c>
      <c r="AC40" s="1">
        <f t="shared" si="20"/>
        <v>0.40577332990735854</v>
      </c>
      <c r="AD40" s="1">
        <f>ABS(AB40 - Sheet3!AB40)</f>
        <v>0.15191791798481019</v>
      </c>
      <c r="AF40" s="15">
        <f t="shared" si="14"/>
        <v>1</v>
      </c>
      <c r="AG40" s="15">
        <f t="shared" si="19"/>
        <v>0</v>
      </c>
    </row>
    <row r="41" spans="1:33" ht="27.6" x14ac:dyDescent="0.3">
      <c r="A41" s="2">
        <v>202209</v>
      </c>
      <c r="B41" s="6">
        <v>44834</v>
      </c>
      <c r="C41" s="3">
        <v>71</v>
      </c>
      <c r="D41" s="3">
        <v>103</v>
      </c>
      <c r="E41" s="3">
        <v>51</v>
      </c>
      <c r="F41" s="3">
        <v>14</v>
      </c>
      <c r="G41" s="3">
        <v>45</v>
      </c>
      <c r="H41" s="3">
        <v>23</v>
      </c>
      <c r="I41" s="3">
        <v>103</v>
      </c>
      <c r="J41" s="3" t="s">
        <v>19</v>
      </c>
      <c r="K41" s="3" t="s">
        <v>22</v>
      </c>
      <c r="L41" s="3" t="s">
        <v>21</v>
      </c>
      <c r="N41" s="1">
        <f t="shared" si="1"/>
        <v>0.75862068965517238</v>
      </c>
      <c r="O41" s="1">
        <f t="shared" si="2"/>
        <v>0.5714285714285714</v>
      </c>
      <c r="P41" s="1">
        <f t="shared" si="3"/>
        <v>0.5</v>
      </c>
      <c r="Q41" s="1">
        <f t="shared" si="4"/>
        <v>0.26315789473684209</v>
      </c>
      <c r="R41" s="1">
        <f t="shared" si="5"/>
        <v>0.17073170731707318</v>
      </c>
      <c r="S41" s="1">
        <f t="shared" si="6"/>
        <v>0.3125</v>
      </c>
      <c r="T41" s="1">
        <f t="shared" si="7"/>
        <v>2.5764388631376591</v>
      </c>
      <c r="V41" s="1">
        <f>Sheet3!AB41^2</f>
        <v>0.1001156060828452</v>
      </c>
      <c r="W41" s="1">
        <f>Sheet3!AC41^2</f>
        <v>0.46729460111273458</v>
      </c>
      <c r="X41" s="1">
        <f t="shared" si="8"/>
        <v>7.1082080318820093</v>
      </c>
      <c r="Y41" s="1">
        <f t="shared" si="16"/>
        <v>33.177916679004156</v>
      </c>
      <c r="Z41" s="1">
        <f t="shared" si="10"/>
        <v>303.1259</v>
      </c>
      <c r="AA41" s="1">
        <f t="shared" si="11"/>
        <v>2028.0506999999998</v>
      </c>
      <c r="AB41" s="1">
        <f t="shared" si="18"/>
        <v>0.86996871022126765</v>
      </c>
      <c r="AC41" s="1">
        <f t="shared" si="20"/>
        <v>0.13003128977873235</v>
      </c>
      <c r="AD41" s="1">
        <f>ABS(AB41 - Sheet3!AB41)</f>
        <v>0.55355820773621234</v>
      </c>
      <c r="AF41" s="15">
        <f t="shared" si="14"/>
        <v>1</v>
      </c>
      <c r="AG41" s="15">
        <f t="shared" si="19"/>
        <v>0</v>
      </c>
    </row>
    <row r="42" spans="1:33" x14ac:dyDescent="0.3">
      <c r="A42" s="2">
        <v>202209</v>
      </c>
      <c r="B42" s="6">
        <v>44833</v>
      </c>
      <c r="C42" s="3">
        <v>62</v>
      </c>
      <c r="D42" s="3">
        <v>100</v>
      </c>
      <c r="E42" s="3">
        <v>51</v>
      </c>
      <c r="F42" s="3">
        <v>14</v>
      </c>
      <c r="G42" s="3">
        <v>50</v>
      </c>
      <c r="H42" s="3">
        <v>21</v>
      </c>
      <c r="I42" s="3">
        <v>100</v>
      </c>
      <c r="J42" s="3" t="s">
        <v>19</v>
      </c>
      <c r="K42" s="3" t="s">
        <v>20</v>
      </c>
      <c r="L42" s="3" t="s">
        <v>21</v>
      </c>
      <c r="N42" s="1">
        <f t="shared" si="1"/>
        <v>0.60344827586206895</v>
      </c>
      <c r="O42" s="1">
        <f t="shared" si="2"/>
        <v>0.54285714285714282</v>
      </c>
      <c r="P42" s="1">
        <f t="shared" si="3"/>
        <v>0.5</v>
      </c>
      <c r="Q42" s="1">
        <f t="shared" si="4"/>
        <v>0.26315789473684209</v>
      </c>
      <c r="R42" s="1">
        <f t="shared" si="5"/>
        <v>0.20121951219512196</v>
      </c>
      <c r="S42" s="1">
        <f t="shared" si="6"/>
        <v>0.25</v>
      </c>
      <c r="T42" s="1">
        <f t="shared" si="7"/>
        <v>2.3606828256511756</v>
      </c>
      <c r="V42" s="1">
        <f>Sheet3!AB42^2</f>
        <v>8.1090909202563441E-2</v>
      </c>
      <c r="W42" s="1">
        <f>Sheet3!AC42^2</f>
        <v>0.5115615975686022</v>
      </c>
      <c r="X42" s="1">
        <f t="shared" si="8"/>
        <v>5.0276363705589331</v>
      </c>
      <c r="Y42" s="1">
        <f t="shared" si="16"/>
        <v>31.716819049253335</v>
      </c>
      <c r="Z42" s="1">
        <f t="shared" si="10"/>
        <v>123.6259</v>
      </c>
      <c r="AA42" s="1">
        <f t="shared" si="11"/>
        <v>1743.5907</v>
      </c>
      <c r="AB42" s="1">
        <f t="shared" si="18"/>
        <v>0.93379134482844672</v>
      </c>
      <c r="AC42" s="1">
        <f t="shared" si="20"/>
        <v>6.6208655171553207E-2</v>
      </c>
      <c r="AD42" s="1">
        <f>ABS(AB42 - Sheet3!AB42)</f>
        <v>0.6490266890114661</v>
      </c>
      <c r="AF42" s="15">
        <f t="shared" si="14"/>
        <v>1</v>
      </c>
      <c r="AG42" s="15">
        <f t="shared" si="19"/>
        <v>1</v>
      </c>
    </row>
    <row r="43" spans="1:33" x14ac:dyDescent="0.3">
      <c r="A43" s="2">
        <v>202209</v>
      </c>
      <c r="B43" s="6">
        <v>44832</v>
      </c>
      <c r="C43" s="3">
        <v>62</v>
      </c>
      <c r="D43" s="3">
        <v>92</v>
      </c>
      <c r="E43" s="3">
        <v>51</v>
      </c>
      <c r="F43" s="3">
        <v>13</v>
      </c>
      <c r="G43" s="3">
        <v>55</v>
      </c>
      <c r="H43" s="3">
        <v>24</v>
      </c>
      <c r="I43" s="3">
        <v>92</v>
      </c>
      <c r="J43" s="3" t="s">
        <v>19</v>
      </c>
      <c r="K43" s="3" t="s">
        <v>20</v>
      </c>
      <c r="L43" s="3" t="s">
        <v>21</v>
      </c>
      <c r="N43" s="1">
        <f t="shared" si="1"/>
        <v>0.60344827586206895</v>
      </c>
      <c r="O43" s="1">
        <f t="shared" si="2"/>
        <v>0.46666666666666667</v>
      </c>
      <c r="P43" s="1">
        <f t="shared" si="3"/>
        <v>0.5</v>
      </c>
      <c r="Q43" s="1">
        <f t="shared" si="4"/>
        <v>0.21052631578947367</v>
      </c>
      <c r="R43" s="1">
        <f t="shared" si="5"/>
        <v>0.23170731707317074</v>
      </c>
      <c r="S43" s="1">
        <f t="shared" si="6"/>
        <v>0.34375</v>
      </c>
      <c r="T43" s="1">
        <f t="shared" si="7"/>
        <v>2.3560985753913801</v>
      </c>
      <c r="V43" s="1">
        <f>Sheet3!AB43^2</f>
        <v>0.13748252827714824</v>
      </c>
      <c r="W43" s="1">
        <f>Sheet3!AC43^2</f>
        <v>0.39590979879702981</v>
      </c>
      <c r="X43" s="1">
        <f t="shared" si="8"/>
        <v>8.5239167531831903</v>
      </c>
      <c r="Y43" s="1">
        <f t="shared" si="16"/>
        <v>24.546407525415848</v>
      </c>
      <c r="Z43" s="1">
        <f t="shared" si="10"/>
        <v>25.005899999999983</v>
      </c>
      <c r="AA43" s="1">
        <f t="shared" si="11"/>
        <v>1572.8906999999997</v>
      </c>
      <c r="AB43" s="1">
        <f t="shared" si="18"/>
        <v>0.98435073959103481</v>
      </c>
      <c r="AC43" s="1">
        <f t="shared" si="20"/>
        <v>1.5649260408965127E-2</v>
      </c>
      <c r="AD43" s="1">
        <f>ABS(AB43 - Sheet3!AB43)</f>
        <v>0.61356437485097559</v>
      </c>
      <c r="AF43" s="15">
        <f t="shared" si="14"/>
        <v>1</v>
      </c>
      <c r="AG43" s="15">
        <f t="shared" si="19"/>
        <v>1</v>
      </c>
    </row>
    <row r="44" spans="1:33" x14ac:dyDescent="0.3">
      <c r="A44" s="2">
        <v>202209</v>
      </c>
      <c r="B44" s="6">
        <v>44831</v>
      </c>
      <c r="C44" s="3">
        <v>63</v>
      </c>
      <c r="D44" s="3">
        <v>86</v>
      </c>
      <c r="E44" s="3">
        <v>51</v>
      </c>
      <c r="F44" s="3">
        <v>14</v>
      </c>
      <c r="G44" s="3">
        <v>58</v>
      </c>
      <c r="H44" s="3">
        <v>26</v>
      </c>
      <c r="I44" s="3">
        <v>86</v>
      </c>
      <c r="J44" s="3" t="s">
        <v>19</v>
      </c>
      <c r="K44" s="3" t="s">
        <v>20</v>
      </c>
      <c r="L44" s="3" t="s">
        <v>21</v>
      </c>
      <c r="N44" s="1">
        <f t="shared" si="1"/>
        <v>0.62068965517241381</v>
      </c>
      <c r="O44" s="1">
        <f t="shared" si="2"/>
        <v>0.40952380952380951</v>
      </c>
      <c r="P44" s="1">
        <f t="shared" si="3"/>
        <v>0.5</v>
      </c>
      <c r="Q44" s="1">
        <f t="shared" si="4"/>
        <v>0.26315789473684209</v>
      </c>
      <c r="R44" s="1">
        <f t="shared" si="5"/>
        <v>0.25</v>
      </c>
      <c r="S44" s="1">
        <f t="shared" si="6"/>
        <v>0.40625</v>
      </c>
      <c r="T44" s="1">
        <f t="shared" si="7"/>
        <v>2.4496213594330651</v>
      </c>
      <c r="V44" s="1">
        <f>Sheet3!AB44^2</f>
        <v>0.31526800576928699</v>
      </c>
      <c r="W44" s="1">
        <f>Sheet3!AC44^2</f>
        <v>0.1922933742316249</v>
      </c>
      <c r="X44" s="1">
        <f t="shared" si="8"/>
        <v>19.86188436346508</v>
      </c>
      <c r="Y44" s="1">
        <f t="shared" si="16"/>
        <v>12.114482576592369</v>
      </c>
      <c r="Z44" s="1">
        <f t="shared" si="10"/>
        <v>66.005899999999983</v>
      </c>
      <c r="AA44" s="1">
        <f t="shared" si="11"/>
        <v>1590.0906999999997</v>
      </c>
      <c r="AB44" s="1">
        <f t="shared" si="18"/>
        <v>0.9601436896857346</v>
      </c>
      <c r="AC44" s="1">
        <f t="shared" si="20"/>
        <v>3.9856310314265481E-2</v>
      </c>
      <c r="AD44" s="1">
        <f>ABS(AB44 - Sheet3!AB44)</f>
        <v>0.39865637391690356</v>
      </c>
      <c r="AF44" s="15">
        <f t="shared" si="14"/>
        <v>1</v>
      </c>
      <c r="AG44" s="15">
        <f t="shared" si="19"/>
        <v>1</v>
      </c>
    </row>
    <row r="45" spans="1:33" x14ac:dyDescent="0.3">
      <c r="A45" s="2">
        <v>202209</v>
      </c>
      <c r="B45" s="6">
        <v>44830</v>
      </c>
      <c r="C45" s="3">
        <v>57</v>
      </c>
      <c r="D45" s="3">
        <v>79</v>
      </c>
      <c r="E45" s="3">
        <v>51</v>
      </c>
      <c r="F45" s="3">
        <v>14</v>
      </c>
      <c r="G45" s="3">
        <v>56</v>
      </c>
      <c r="H45" s="3">
        <v>26</v>
      </c>
      <c r="I45" s="3">
        <v>79</v>
      </c>
      <c r="J45" s="3" t="s">
        <v>19</v>
      </c>
      <c r="K45" s="3" t="s">
        <v>20</v>
      </c>
      <c r="L45" s="3" t="s">
        <v>24</v>
      </c>
      <c r="N45" s="1">
        <f t="shared" si="1"/>
        <v>0.51724137931034486</v>
      </c>
      <c r="O45" s="1">
        <f t="shared" si="2"/>
        <v>0.34285714285714286</v>
      </c>
      <c r="P45" s="1">
        <f t="shared" si="3"/>
        <v>0.5</v>
      </c>
      <c r="Q45" s="1">
        <f t="shared" si="4"/>
        <v>0.26315789473684209</v>
      </c>
      <c r="R45" s="1">
        <f t="shared" si="5"/>
        <v>0.23780487804878048</v>
      </c>
      <c r="S45" s="1">
        <f t="shared" si="6"/>
        <v>0.40625</v>
      </c>
      <c r="T45" s="1">
        <f t="shared" si="7"/>
        <v>2.2673112949531102</v>
      </c>
      <c r="V45" s="1">
        <f>Sheet3!AB45^2</f>
        <v>0.25448481664254341</v>
      </c>
      <c r="W45" s="1">
        <f>Sheet3!AC45^2</f>
        <v>0.24555505369064512</v>
      </c>
      <c r="X45" s="1">
        <f t="shared" si="8"/>
        <v>14.505634548624974</v>
      </c>
      <c r="Y45" s="1">
        <f t="shared" si="16"/>
        <v>13.996638060366772</v>
      </c>
      <c r="Z45" s="1">
        <f t="shared" si="10"/>
        <v>256.06589999999989</v>
      </c>
      <c r="AA45" s="1">
        <f t="shared" si="11"/>
        <v>2218.7506999999996</v>
      </c>
      <c r="AB45" s="1">
        <f t="shared" si="18"/>
        <v>0.89653136317252757</v>
      </c>
      <c r="AC45" s="1">
        <f t="shared" si="20"/>
        <v>0.10346863682747236</v>
      </c>
      <c r="AD45" s="1">
        <f>ABS(AB45 - Sheet3!AB45)</f>
        <v>0.39206648169657843</v>
      </c>
      <c r="AF45" s="15">
        <f t="shared" si="14"/>
        <v>1</v>
      </c>
      <c r="AG45" s="15">
        <f t="shared" si="19"/>
        <v>1</v>
      </c>
    </row>
    <row r="46" spans="1:33" x14ac:dyDescent="0.3">
      <c r="A46" s="2">
        <v>202209</v>
      </c>
      <c r="B46" s="6">
        <v>44829</v>
      </c>
      <c r="C46" s="3">
        <v>58</v>
      </c>
      <c r="D46" s="3">
        <v>94</v>
      </c>
      <c r="E46" s="3">
        <v>50</v>
      </c>
      <c r="F46" s="3">
        <v>14</v>
      </c>
      <c r="G46" s="3">
        <v>48</v>
      </c>
      <c r="H46" s="3">
        <v>25</v>
      </c>
      <c r="I46" s="3">
        <v>94</v>
      </c>
      <c r="J46" s="3" t="s">
        <v>19</v>
      </c>
      <c r="K46" s="3" t="s">
        <v>20</v>
      </c>
      <c r="L46" s="3" t="s">
        <v>21</v>
      </c>
      <c r="N46" s="1">
        <f t="shared" si="1"/>
        <v>0.53448275862068961</v>
      </c>
      <c r="O46" s="1">
        <f t="shared" si="2"/>
        <v>0.48571428571428571</v>
      </c>
      <c r="P46" s="1">
        <f t="shared" si="3"/>
        <v>0.41666666666666669</v>
      </c>
      <c r="Q46" s="1">
        <f t="shared" si="4"/>
        <v>0.26315789473684209</v>
      </c>
      <c r="R46" s="1">
        <f t="shared" si="5"/>
        <v>0.18902439024390244</v>
      </c>
      <c r="S46" s="1">
        <f t="shared" si="6"/>
        <v>0.375</v>
      </c>
      <c r="T46" s="1">
        <f t="shared" si="7"/>
        <v>2.2640459959823866</v>
      </c>
      <c r="V46" s="1">
        <f>Sheet3!AB46^2</f>
        <v>1.9906085076102881E-2</v>
      </c>
      <c r="W46" s="1">
        <f>Sheet3!AC46^2</f>
        <v>0.73772823281903521</v>
      </c>
      <c r="X46" s="1">
        <f t="shared" si="8"/>
        <v>1.1545529344139671</v>
      </c>
      <c r="Y46" s="1">
        <f t="shared" si="16"/>
        <v>42.788237503504043</v>
      </c>
      <c r="Z46" s="1">
        <f t="shared" si="10"/>
        <v>106.64589999999993</v>
      </c>
      <c r="AA46" s="1">
        <f t="shared" si="11"/>
        <v>2108.1106999999997</v>
      </c>
      <c r="AB46" s="1">
        <f t="shared" si="18"/>
        <v>0.9518475754852701</v>
      </c>
      <c r="AC46" s="1">
        <f t="shared" si="20"/>
        <v>4.8152424514729952E-2</v>
      </c>
      <c r="AD46" s="1">
        <f>ABS(AB46 - Sheet3!AB46)</f>
        <v>0.81075864935673625</v>
      </c>
      <c r="AF46" s="15">
        <f t="shared" si="14"/>
        <v>1</v>
      </c>
      <c r="AG46" s="15">
        <f t="shared" si="19"/>
        <v>1</v>
      </c>
    </row>
    <row r="47" spans="1:33" x14ac:dyDescent="0.3">
      <c r="A47" s="2">
        <v>202209</v>
      </c>
      <c r="B47" s="6">
        <v>44828</v>
      </c>
      <c r="C47" s="3">
        <v>57</v>
      </c>
      <c r="D47" s="3">
        <v>83</v>
      </c>
      <c r="E47" s="3">
        <v>50</v>
      </c>
      <c r="F47" s="3">
        <v>17</v>
      </c>
      <c r="G47" s="3">
        <v>39</v>
      </c>
      <c r="H47" s="3">
        <v>33</v>
      </c>
      <c r="I47" s="3">
        <v>83</v>
      </c>
      <c r="J47" s="3" t="s">
        <v>19</v>
      </c>
      <c r="K47" s="3" t="s">
        <v>20</v>
      </c>
      <c r="L47" s="3" t="s">
        <v>21</v>
      </c>
      <c r="N47" s="1">
        <f t="shared" si="1"/>
        <v>0.51724137931034486</v>
      </c>
      <c r="O47" s="1">
        <f t="shared" si="2"/>
        <v>0.38095238095238093</v>
      </c>
      <c r="P47" s="1">
        <f t="shared" si="3"/>
        <v>0.41666666666666669</v>
      </c>
      <c r="Q47" s="1">
        <f t="shared" si="4"/>
        <v>0.42105263157894735</v>
      </c>
      <c r="R47" s="1">
        <f t="shared" si="5"/>
        <v>0.13414634146341464</v>
      </c>
      <c r="S47" s="1">
        <f t="shared" si="6"/>
        <v>0.625</v>
      </c>
      <c r="T47" s="1">
        <f t="shared" si="7"/>
        <v>2.4950593999717543</v>
      </c>
      <c r="V47" s="1">
        <f>Sheet3!AB47^2</f>
        <v>7.2906151102597058E-2</v>
      </c>
      <c r="W47" s="1">
        <f>Sheet3!AC47^2</f>
        <v>0.53288336972167394</v>
      </c>
      <c r="X47" s="1">
        <f t="shared" si="8"/>
        <v>4.1556506128480324</v>
      </c>
      <c r="Y47" s="1">
        <f t="shared" si="16"/>
        <v>30.374352074135416</v>
      </c>
      <c r="Z47" s="1">
        <f t="shared" si="10"/>
        <v>494.34589999999986</v>
      </c>
      <c r="AA47" s="1">
        <f t="shared" si="11"/>
        <v>3448.7706999999996</v>
      </c>
      <c r="AB47" s="1">
        <f t="shared" si="18"/>
        <v>0.87463066651389421</v>
      </c>
      <c r="AC47" s="1">
        <f t="shared" si="20"/>
        <v>0.12536933348610588</v>
      </c>
      <c r="AD47" s="1">
        <f>ABS(AB47 - Sheet3!AB47)</f>
        <v>0.60461927582343267</v>
      </c>
      <c r="AF47" s="15">
        <f t="shared" si="14"/>
        <v>1</v>
      </c>
      <c r="AG47" s="15">
        <f t="shared" si="19"/>
        <v>1</v>
      </c>
    </row>
    <row r="48" spans="1:33" x14ac:dyDescent="0.3">
      <c r="A48" s="2">
        <v>202209</v>
      </c>
      <c r="B48" s="6">
        <v>44827</v>
      </c>
      <c r="C48" s="3">
        <v>73</v>
      </c>
      <c r="D48" s="3">
        <v>97</v>
      </c>
      <c r="E48" s="3">
        <v>50</v>
      </c>
      <c r="F48" s="3">
        <v>24</v>
      </c>
      <c r="G48" s="3">
        <v>50</v>
      </c>
      <c r="H48" s="3">
        <v>45</v>
      </c>
      <c r="I48" s="3">
        <v>97</v>
      </c>
      <c r="J48" s="3" t="s">
        <v>19</v>
      </c>
      <c r="K48" s="3" t="s">
        <v>20</v>
      </c>
      <c r="L48" s="3" t="s">
        <v>23</v>
      </c>
      <c r="N48" s="1">
        <f t="shared" si="1"/>
        <v>0.7931034482758621</v>
      </c>
      <c r="O48" s="1">
        <f t="shared" si="2"/>
        <v>0.51428571428571423</v>
      </c>
      <c r="P48" s="1">
        <f t="shared" si="3"/>
        <v>0.41666666666666669</v>
      </c>
      <c r="Q48" s="1">
        <f t="shared" si="4"/>
        <v>0.78947368421052633</v>
      </c>
      <c r="R48" s="1">
        <f t="shared" si="5"/>
        <v>0.20121951219512196</v>
      </c>
      <c r="S48" s="1">
        <f t="shared" si="6"/>
        <v>1</v>
      </c>
      <c r="T48" s="1">
        <f t="shared" si="7"/>
        <v>3.7147490256338913</v>
      </c>
      <c r="V48" s="1">
        <f>Sheet3!AB48^2</f>
        <v>0.16461116756191435</v>
      </c>
      <c r="W48" s="1">
        <f>Sheet3!AC48^2</f>
        <v>0.35316513100270031</v>
      </c>
      <c r="X48" s="1">
        <f t="shared" si="8"/>
        <v>12.016615232019747</v>
      </c>
      <c r="Y48" s="1">
        <f t="shared" si="16"/>
        <v>25.781054563197124</v>
      </c>
      <c r="Z48" s="1">
        <f t="shared" si="10"/>
        <v>545.02589999999998</v>
      </c>
      <c r="AA48" s="1">
        <f t="shared" si="11"/>
        <v>2101.6306999999997</v>
      </c>
      <c r="AB48" s="1">
        <f t="shared" si="18"/>
        <v>0.79407003537973164</v>
      </c>
      <c r="AC48" s="1">
        <f t="shared" si="20"/>
        <v>0.20592996462026847</v>
      </c>
      <c r="AD48" s="1">
        <f>ABS(AB48 - Sheet3!AB48)</f>
        <v>0.38834701710012459</v>
      </c>
      <c r="AF48" s="15">
        <f t="shared" si="14"/>
        <v>1</v>
      </c>
      <c r="AG48" s="15">
        <f t="shared" si="19"/>
        <v>1</v>
      </c>
    </row>
    <row r="49" spans="1:33" x14ac:dyDescent="0.3">
      <c r="A49" s="2">
        <v>202209</v>
      </c>
      <c r="B49" s="6">
        <v>44826</v>
      </c>
      <c r="C49" s="3">
        <v>63</v>
      </c>
      <c r="D49" s="3">
        <v>90</v>
      </c>
      <c r="E49" s="3">
        <v>50</v>
      </c>
      <c r="F49" s="3">
        <v>16</v>
      </c>
      <c r="G49" s="3">
        <v>37</v>
      </c>
      <c r="H49" s="3">
        <v>24</v>
      </c>
      <c r="I49" s="3">
        <v>90</v>
      </c>
      <c r="J49" s="3" t="s">
        <v>19</v>
      </c>
      <c r="K49" s="3" t="s">
        <v>20</v>
      </c>
      <c r="L49" s="3" t="s">
        <v>24</v>
      </c>
      <c r="N49" s="1">
        <f t="shared" si="1"/>
        <v>0.62068965517241381</v>
      </c>
      <c r="O49" s="1">
        <f t="shared" si="2"/>
        <v>0.44761904761904764</v>
      </c>
      <c r="P49" s="1">
        <f t="shared" si="3"/>
        <v>0.41666666666666669</v>
      </c>
      <c r="Q49" s="1">
        <f t="shared" si="4"/>
        <v>0.36842105263157893</v>
      </c>
      <c r="R49" s="1">
        <f t="shared" si="5"/>
        <v>0.12195121951219512</v>
      </c>
      <c r="S49" s="1">
        <f t="shared" si="6"/>
        <v>0.34375</v>
      </c>
      <c r="T49" s="1">
        <f t="shared" si="7"/>
        <v>2.3190976416019025</v>
      </c>
      <c r="V49" s="1">
        <f>Sheet3!AB49^2</f>
        <v>5.5534001413677071E-2</v>
      </c>
      <c r="W49" s="1">
        <f>Sheet3!AC49^2</f>
        <v>0.58422093597340274</v>
      </c>
      <c r="X49" s="1">
        <f t="shared" si="8"/>
        <v>3.4986420890616556</v>
      </c>
      <c r="Y49" s="1">
        <f t="shared" si="16"/>
        <v>36.80591896632437</v>
      </c>
      <c r="Z49" s="1">
        <f t="shared" si="10"/>
        <v>399.54589999999985</v>
      </c>
      <c r="AA49" s="1">
        <f t="shared" si="11"/>
        <v>3169.8706999999999</v>
      </c>
      <c r="AB49" s="1">
        <f t="shared" si="18"/>
        <v>0.88806408868048636</v>
      </c>
      <c r="AC49" s="1">
        <f t="shared" si="20"/>
        <v>0.11193591131951365</v>
      </c>
      <c r="AD49" s="1">
        <f>ABS(AB49 - Sheet3!AB49)</f>
        <v>0.65240755596034927</v>
      </c>
      <c r="AF49" s="15">
        <f t="shared" si="14"/>
        <v>1</v>
      </c>
      <c r="AG49" s="15">
        <f t="shared" si="19"/>
        <v>1</v>
      </c>
    </row>
    <row r="50" spans="1:33" ht="27.6" x14ac:dyDescent="0.3">
      <c r="A50" s="2">
        <v>202209</v>
      </c>
      <c r="B50" s="6">
        <v>44825</v>
      </c>
      <c r="C50" s="3">
        <v>69</v>
      </c>
      <c r="D50" s="3">
        <v>112</v>
      </c>
      <c r="E50" s="3">
        <v>50</v>
      </c>
      <c r="F50" s="3">
        <v>17</v>
      </c>
      <c r="G50" s="3">
        <v>42</v>
      </c>
      <c r="H50" s="3">
        <v>32</v>
      </c>
      <c r="I50" s="3">
        <v>112</v>
      </c>
      <c r="J50" s="3" t="s">
        <v>19</v>
      </c>
      <c r="K50" s="3" t="s">
        <v>22</v>
      </c>
      <c r="L50" s="3" t="s">
        <v>21</v>
      </c>
      <c r="N50" s="1">
        <f t="shared" si="1"/>
        <v>0.72413793103448276</v>
      </c>
      <c r="O50" s="1">
        <f t="shared" si="2"/>
        <v>0.65714285714285714</v>
      </c>
      <c r="P50" s="1">
        <f t="shared" si="3"/>
        <v>0.41666666666666669</v>
      </c>
      <c r="Q50" s="1">
        <f t="shared" si="4"/>
        <v>0.42105263157894735</v>
      </c>
      <c r="R50" s="1">
        <f t="shared" si="5"/>
        <v>0.1524390243902439</v>
      </c>
      <c r="S50" s="1">
        <f t="shared" si="6"/>
        <v>0.59375</v>
      </c>
      <c r="T50" s="1">
        <f t="shared" si="7"/>
        <v>2.9651891108131978</v>
      </c>
      <c r="V50" s="1">
        <f>Sheet3!AB50^2</f>
        <v>0.12044275894710371</v>
      </c>
      <c r="W50" s="1">
        <f>Sheet3!AC50^2</f>
        <v>0.42634547773328507</v>
      </c>
      <c r="X50" s="1">
        <f t="shared" si="8"/>
        <v>8.3105503673501566</v>
      </c>
      <c r="Y50" s="1">
        <f t="shared" si="16"/>
        <v>29.417837963596671</v>
      </c>
      <c r="Z50" s="1">
        <f t="shared" si="10"/>
        <v>613.10590000000002</v>
      </c>
      <c r="AA50" s="1">
        <f t="shared" si="11"/>
        <v>2285.0506999999998</v>
      </c>
      <c r="AB50" s="1">
        <f t="shared" si="18"/>
        <v>0.78844969937097253</v>
      </c>
      <c r="AC50" s="1">
        <f t="shared" si="20"/>
        <v>0.21155030062902747</v>
      </c>
      <c r="AD50" s="1">
        <f>ABS(AB50 - Sheet3!AB50)</f>
        <v>0.44140105876406321</v>
      </c>
      <c r="AF50" s="15">
        <f t="shared" si="14"/>
        <v>1</v>
      </c>
      <c r="AG50" s="15">
        <f t="shared" si="19"/>
        <v>0</v>
      </c>
    </row>
    <row r="51" spans="1:33" ht="27.6" x14ac:dyDescent="0.3">
      <c r="A51" s="2">
        <v>202209</v>
      </c>
      <c r="B51" s="6">
        <v>44824</v>
      </c>
      <c r="C51" s="3">
        <v>66</v>
      </c>
      <c r="D51" s="3">
        <v>110</v>
      </c>
      <c r="E51" s="3">
        <v>51</v>
      </c>
      <c r="F51" s="3">
        <v>21</v>
      </c>
      <c r="G51" s="3">
        <v>37</v>
      </c>
      <c r="H51" s="3">
        <v>41</v>
      </c>
      <c r="I51" s="3">
        <v>110</v>
      </c>
      <c r="J51" s="3" t="s">
        <v>19</v>
      </c>
      <c r="K51" s="3" t="s">
        <v>22</v>
      </c>
      <c r="L51" s="3" t="s">
        <v>21</v>
      </c>
      <c r="N51" s="1">
        <f t="shared" si="1"/>
        <v>0.67241379310344829</v>
      </c>
      <c r="O51" s="1">
        <f t="shared" si="2"/>
        <v>0.63809523809523805</v>
      </c>
      <c r="P51" s="1">
        <f t="shared" si="3"/>
        <v>0.5</v>
      </c>
      <c r="Q51" s="1">
        <f t="shared" si="4"/>
        <v>0.63157894736842102</v>
      </c>
      <c r="R51" s="1">
        <f t="shared" si="5"/>
        <v>0.12195121951219512</v>
      </c>
      <c r="S51" s="1">
        <f t="shared" si="6"/>
        <v>0.875</v>
      </c>
      <c r="T51" s="1">
        <f t="shared" si="7"/>
        <v>3.4390391980793025</v>
      </c>
      <c r="V51" s="1">
        <f>Sheet3!AB51^2</f>
        <v>0.11937084244109904</v>
      </c>
      <c r="W51" s="1">
        <f>Sheet3!AC51^2</f>
        <v>0.42836912770777363</v>
      </c>
      <c r="X51" s="1">
        <f t="shared" si="8"/>
        <v>7.8784756011125365</v>
      </c>
      <c r="Y51" s="1">
        <f t="shared" si="16"/>
        <v>28.272362428713059</v>
      </c>
      <c r="Z51" s="1">
        <f t="shared" si="10"/>
        <v>885.26589999999987</v>
      </c>
      <c r="AA51" s="1">
        <f t="shared" si="11"/>
        <v>2994.8507</v>
      </c>
      <c r="AB51" s="1">
        <f t="shared" si="18"/>
        <v>0.77184554196129052</v>
      </c>
      <c r="AC51" s="1">
        <f t="shared" si="20"/>
        <v>0.22815445803870943</v>
      </c>
      <c r="AD51" s="1">
        <f>ABS(AB51 - Sheet3!AB51)</f>
        <v>0.42634468459462777</v>
      </c>
      <c r="AF51" s="15">
        <f t="shared" si="14"/>
        <v>1</v>
      </c>
      <c r="AG51" s="15">
        <f t="shared" si="19"/>
        <v>0</v>
      </c>
    </row>
    <row r="52" spans="1:33" ht="27.6" x14ac:dyDescent="0.3">
      <c r="A52" s="2">
        <v>202209</v>
      </c>
      <c r="B52" s="6">
        <v>44823</v>
      </c>
      <c r="C52" s="3">
        <v>70</v>
      </c>
      <c r="D52" s="3">
        <v>113</v>
      </c>
      <c r="E52" s="3">
        <v>51</v>
      </c>
      <c r="F52" s="3">
        <v>17</v>
      </c>
      <c r="G52" s="3">
        <v>46</v>
      </c>
      <c r="H52" s="3">
        <v>28</v>
      </c>
      <c r="I52" s="3">
        <v>113</v>
      </c>
      <c r="J52" s="3" t="s">
        <v>19</v>
      </c>
      <c r="K52" s="3" t="s">
        <v>22</v>
      </c>
      <c r="L52" s="3" t="s">
        <v>21</v>
      </c>
      <c r="N52" s="1">
        <f t="shared" si="1"/>
        <v>0.74137931034482762</v>
      </c>
      <c r="O52" s="1">
        <f t="shared" si="2"/>
        <v>0.66666666666666663</v>
      </c>
      <c r="P52" s="1">
        <f t="shared" si="3"/>
        <v>0.5</v>
      </c>
      <c r="Q52" s="1">
        <f t="shared" si="4"/>
        <v>0.42105263157894735</v>
      </c>
      <c r="R52" s="1">
        <f t="shared" si="5"/>
        <v>0.17682926829268292</v>
      </c>
      <c r="S52" s="1">
        <f t="shared" si="6"/>
        <v>0.46875</v>
      </c>
      <c r="T52" s="1">
        <f t="shared" si="7"/>
        <v>2.9746778768831246</v>
      </c>
      <c r="V52" s="1">
        <f>Sheet3!AB52^2</f>
        <v>0.13831768362312175</v>
      </c>
      <c r="W52" s="1">
        <f>Sheet3!AC52^2</f>
        <v>0.39449597481617454</v>
      </c>
      <c r="X52" s="1">
        <f t="shared" si="8"/>
        <v>9.6822378536185223</v>
      </c>
      <c r="Y52" s="1">
        <f t="shared" si="16"/>
        <v>27.61471823713222</v>
      </c>
      <c r="Z52" s="1">
        <f t="shared" si="10"/>
        <v>538.38589999999999</v>
      </c>
      <c r="AA52" s="1">
        <f t="shared" si="11"/>
        <v>1898.0106999999998</v>
      </c>
      <c r="AB52" s="1">
        <f t="shared" si="18"/>
        <v>0.77902370246289121</v>
      </c>
      <c r="AC52" s="1">
        <f t="shared" si="20"/>
        <v>0.22097629753710871</v>
      </c>
      <c r="AD52" s="1">
        <f>ABS(AB52 - Sheet3!AB52)</f>
        <v>0.40711284805941761</v>
      </c>
      <c r="AF52" s="15">
        <f t="shared" si="14"/>
        <v>1</v>
      </c>
      <c r="AG52" s="15">
        <f t="shared" si="19"/>
        <v>0</v>
      </c>
    </row>
    <row r="53" spans="1:33" ht="27.6" x14ac:dyDescent="0.3">
      <c r="A53" s="2">
        <v>202209</v>
      </c>
      <c r="B53" s="6">
        <v>44822</v>
      </c>
      <c r="C53" s="3">
        <v>72</v>
      </c>
      <c r="D53" s="3">
        <v>113</v>
      </c>
      <c r="E53" s="3">
        <v>51</v>
      </c>
      <c r="F53" s="3">
        <v>21</v>
      </c>
      <c r="G53" s="3">
        <v>43</v>
      </c>
      <c r="H53" s="3">
        <v>33</v>
      </c>
      <c r="I53" s="3">
        <v>113</v>
      </c>
      <c r="J53" s="3" t="s">
        <v>19</v>
      </c>
      <c r="K53" s="3" t="s">
        <v>22</v>
      </c>
      <c r="L53" s="3" t="s">
        <v>21</v>
      </c>
      <c r="N53" s="1">
        <f t="shared" si="1"/>
        <v>0.77586206896551724</v>
      </c>
      <c r="O53" s="1">
        <f t="shared" si="2"/>
        <v>0.66666666666666663</v>
      </c>
      <c r="P53" s="1">
        <f t="shared" si="3"/>
        <v>0.5</v>
      </c>
      <c r="Q53" s="1">
        <f t="shared" si="4"/>
        <v>0.63157894736842102</v>
      </c>
      <c r="R53" s="1">
        <f t="shared" si="5"/>
        <v>0.15853658536585366</v>
      </c>
      <c r="S53" s="1">
        <f t="shared" si="6"/>
        <v>0.625</v>
      </c>
      <c r="T53" s="1">
        <f t="shared" si="7"/>
        <v>3.3576442683664589</v>
      </c>
      <c r="V53" s="1">
        <f>Sheet3!AB53^2</f>
        <v>0.13603630255865362</v>
      </c>
      <c r="W53" s="1">
        <f>Sheet3!AC53^2</f>
        <v>0.39837431341009083</v>
      </c>
      <c r="X53" s="1">
        <f t="shared" si="8"/>
        <v>9.7946137842230598</v>
      </c>
      <c r="Y53" s="1">
        <f t="shared" si="16"/>
        <v>28.682950565526539</v>
      </c>
      <c r="Z53" s="1">
        <f t="shared" si="10"/>
        <v>701.1259</v>
      </c>
      <c r="AA53" s="1">
        <f t="shared" si="11"/>
        <v>2225.1507000000001</v>
      </c>
      <c r="AB53" s="1">
        <f t="shared" si="18"/>
        <v>0.76040340820823293</v>
      </c>
      <c r="AC53" s="1">
        <f t="shared" si="20"/>
        <v>0.23959659179176704</v>
      </c>
      <c r="AD53" s="1">
        <f>ABS(AB53 - Sheet3!AB53)</f>
        <v>0.39157241363395151</v>
      </c>
      <c r="AF53" s="15">
        <f t="shared" si="14"/>
        <v>1</v>
      </c>
      <c r="AG53" s="15">
        <f t="shared" si="19"/>
        <v>0</v>
      </c>
    </row>
    <row r="54" spans="1:33" ht="27.6" x14ac:dyDescent="0.3">
      <c r="A54" s="2">
        <v>202209</v>
      </c>
      <c r="B54" s="6">
        <v>44821</v>
      </c>
      <c r="C54" s="3">
        <v>70</v>
      </c>
      <c r="D54" s="3">
        <v>103</v>
      </c>
      <c r="E54" s="3">
        <v>51</v>
      </c>
      <c r="F54" s="3">
        <v>19</v>
      </c>
      <c r="G54" s="3">
        <v>49</v>
      </c>
      <c r="H54" s="3">
        <v>35</v>
      </c>
      <c r="I54" s="3">
        <v>103</v>
      </c>
      <c r="J54" s="3" t="s">
        <v>19</v>
      </c>
      <c r="K54" s="3" t="s">
        <v>22</v>
      </c>
      <c r="L54" s="3" t="s">
        <v>21</v>
      </c>
      <c r="N54" s="1">
        <f t="shared" si="1"/>
        <v>0.74137931034482762</v>
      </c>
      <c r="O54" s="1">
        <f t="shared" si="2"/>
        <v>0.5714285714285714</v>
      </c>
      <c r="P54" s="1">
        <f t="shared" si="3"/>
        <v>0.5</v>
      </c>
      <c r="Q54" s="1">
        <f t="shared" si="4"/>
        <v>0.52631578947368418</v>
      </c>
      <c r="R54" s="1">
        <f t="shared" si="5"/>
        <v>0.1951219512195122</v>
      </c>
      <c r="S54" s="1">
        <f t="shared" si="6"/>
        <v>0.6875</v>
      </c>
      <c r="T54" s="1">
        <f t="shared" si="7"/>
        <v>3.2217456224665955</v>
      </c>
      <c r="V54" s="1">
        <f>Sheet3!AB54^2</f>
        <v>0.10620994494149688</v>
      </c>
      <c r="W54" s="1">
        <f>Sheet3!AC54^2</f>
        <v>0.45441259931481559</v>
      </c>
      <c r="X54" s="1">
        <f t="shared" si="8"/>
        <v>7.4346961459047813</v>
      </c>
      <c r="Y54" s="1">
        <f t="shared" si="16"/>
        <v>31.80888195203709</v>
      </c>
      <c r="Z54" s="1">
        <f t="shared" si="10"/>
        <v>269.28590000000003</v>
      </c>
      <c r="AA54" s="1">
        <f t="shared" si="11"/>
        <v>1748.6306999999997</v>
      </c>
      <c r="AB54" s="1">
        <f t="shared" si="18"/>
        <v>0.86655251262614119</v>
      </c>
      <c r="AC54" s="1">
        <f t="shared" si="20"/>
        <v>0.13344748737385878</v>
      </c>
      <c r="AD54" s="1">
        <f>ABS(AB54 - Sheet3!AB54)</f>
        <v>0.54065383981280046</v>
      </c>
      <c r="AF54" s="15">
        <f t="shared" si="14"/>
        <v>1</v>
      </c>
      <c r="AG54" s="15">
        <f t="shared" si="19"/>
        <v>0</v>
      </c>
    </row>
    <row r="55" spans="1:33" x14ac:dyDescent="0.3">
      <c r="A55" s="2">
        <v>202209</v>
      </c>
      <c r="B55" s="6">
        <v>44820</v>
      </c>
      <c r="C55" s="3">
        <v>62</v>
      </c>
      <c r="D55" s="3">
        <v>100</v>
      </c>
      <c r="E55" s="3">
        <v>51</v>
      </c>
      <c r="F55" s="3">
        <v>18</v>
      </c>
      <c r="G55" s="3">
        <v>52</v>
      </c>
      <c r="H55" s="3">
        <v>33</v>
      </c>
      <c r="I55" s="3">
        <v>100</v>
      </c>
      <c r="J55" s="3" t="s">
        <v>19</v>
      </c>
      <c r="K55" s="3" t="s">
        <v>20</v>
      </c>
      <c r="L55" s="3" t="s">
        <v>21</v>
      </c>
      <c r="N55" s="1">
        <f t="shared" si="1"/>
        <v>0.60344827586206895</v>
      </c>
      <c r="O55" s="1">
        <f t="shared" si="2"/>
        <v>0.54285714285714282</v>
      </c>
      <c r="P55" s="1">
        <f t="shared" si="3"/>
        <v>0.5</v>
      </c>
      <c r="Q55" s="1">
        <f t="shared" si="4"/>
        <v>0.47368421052631576</v>
      </c>
      <c r="R55" s="1">
        <f t="shared" si="5"/>
        <v>0.21341463414634146</v>
      </c>
      <c r="S55" s="1">
        <f t="shared" si="6"/>
        <v>0.625</v>
      </c>
      <c r="T55" s="1">
        <f t="shared" si="7"/>
        <v>2.958404263391869</v>
      </c>
      <c r="V55" s="1">
        <f>Sheet3!AB55^2</f>
        <v>5.7146713844037821E-2</v>
      </c>
      <c r="W55" s="1">
        <f>Sheet3!AC55^2</f>
        <v>0.57903913664393603</v>
      </c>
      <c r="X55" s="1">
        <f t="shared" si="8"/>
        <v>3.5430962583303449</v>
      </c>
      <c r="Y55" s="1">
        <f t="shared" si="16"/>
        <v>35.900426471924035</v>
      </c>
      <c r="Z55" s="1">
        <f t="shared" si="10"/>
        <v>106.10589999999999</v>
      </c>
      <c r="AA55" s="1">
        <f t="shared" si="11"/>
        <v>1599.5506999999996</v>
      </c>
      <c r="AB55" s="1">
        <f t="shared" si="18"/>
        <v>0.93779175714501961</v>
      </c>
      <c r="AC55" s="1">
        <f t="shared" si="20"/>
        <v>6.2208242854980313E-2</v>
      </c>
      <c r="AD55" s="1">
        <f>ABS(AB55 - Sheet3!AB55)</f>
        <v>0.69873796854496872</v>
      </c>
      <c r="AF55" s="15">
        <f t="shared" si="14"/>
        <v>1</v>
      </c>
      <c r="AG55" s="15">
        <f t="shared" si="19"/>
        <v>1</v>
      </c>
    </row>
    <row r="56" spans="1:33" ht="27.6" x14ac:dyDescent="0.3">
      <c r="A56" s="2">
        <v>202209</v>
      </c>
      <c r="B56" s="6">
        <v>44819</v>
      </c>
      <c r="C56" s="3">
        <v>78</v>
      </c>
      <c r="D56" s="3">
        <v>117</v>
      </c>
      <c r="E56" s="3">
        <v>51</v>
      </c>
      <c r="F56" s="3">
        <v>26</v>
      </c>
      <c r="G56" s="3">
        <v>34</v>
      </c>
      <c r="H56" s="3">
        <v>39</v>
      </c>
      <c r="I56" s="3">
        <v>117</v>
      </c>
      <c r="J56" s="3" t="s">
        <v>19</v>
      </c>
      <c r="K56" s="3" t="s">
        <v>22</v>
      </c>
      <c r="L56" s="3" t="s">
        <v>21</v>
      </c>
      <c r="N56" s="1">
        <f t="shared" si="1"/>
        <v>0.87931034482758619</v>
      </c>
      <c r="O56" s="1">
        <f t="shared" si="2"/>
        <v>0.70476190476190481</v>
      </c>
      <c r="P56" s="1">
        <f t="shared" si="3"/>
        <v>0.5</v>
      </c>
      <c r="Q56" s="1">
        <f t="shared" si="4"/>
        <v>0.89473684210526316</v>
      </c>
      <c r="R56" s="1">
        <f t="shared" si="5"/>
        <v>0.10365853658536585</v>
      </c>
      <c r="S56" s="1">
        <f t="shared" si="6"/>
        <v>0.8125</v>
      </c>
      <c r="T56" s="1">
        <f t="shared" si="7"/>
        <v>3.8949676282801202</v>
      </c>
      <c r="V56" s="1">
        <f>Sheet3!AB56^2</f>
        <v>0.1568709524871984</v>
      </c>
      <c r="W56" s="1">
        <f>Sheet3!AC56^2</f>
        <v>0.36473219573507881</v>
      </c>
      <c r="X56" s="1">
        <f t="shared" si="8"/>
        <v>12.235934294001476</v>
      </c>
      <c r="Y56" s="1">
        <f t="shared" si="16"/>
        <v>28.449111267336146</v>
      </c>
      <c r="Z56" s="1">
        <f t="shared" si="10"/>
        <v>1522.2059000000002</v>
      </c>
      <c r="AA56" s="1">
        <f t="shared" si="11"/>
        <v>3419.7707</v>
      </c>
      <c r="AB56" s="1">
        <f t="shared" si="18"/>
        <v>0.69198439749795659</v>
      </c>
      <c r="AC56" s="1">
        <f t="shared" si="20"/>
        <v>0.30801560250204346</v>
      </c>
      <c r="AD56" s="1">
        <f>ABS(AB56 - Sheet3!AB56)</f>
        <v>0.29591501912189683</v>
      </c>
      <c r="AF56" s="15">
        <f t="shared" si="14"/>
        <v>1</v>
      </c>
      <c r="AG56" s="15">
        <f t="shared" si="19"/>
        <v>0</v>
      </c>
    </row>
    <row r="57" spans="1:33" ht="27.6" x14ac:dyDescent="0.3">
      <c r="A57" s="2">
        <v>202209</v>
      </c>
      <c r="B57" s="6">
        <v>44818</v>
      </c>
      <c r="C57" s="3">
        <v>67</v>
      </c>
      <c r="D57" s="3">
        <v>113</v>
      </c>
      <c r="E57" s="3">
        <v>53</v>
      </c>
      <c r="F57" s="3">
        <v>18</v>
      </c>
      <c r="G57" s="3">
        <v>42</v>
      </c>
      <c r="H57" s="3">
        <v>38</v>
      </c>
      <c r="I57" s="3">
        <v>113</v>
      </c>
      <c r="J57" s="3" t="s">
        <v>19</v>
      </c>
      <c r="K57" s="3" t="s">
        <v>22</v>
      </c>
      <c r="L57" s="3" t="s">
        <v>21</v>
      </c>
      <c r="N57" s="1">
        <f t="shared" si="1"/>
        <v>0.68965517241379315</v>
      </c>
      <c r="O57" s="1">
        <f t="shared" si="2"/>
        <v>0.66666666666666663</v>
      </c>
      <c r="P57" s="1">
        <f t="shared" si="3"/>
        <v>0.66666666666666663</v>
      </c>
      <c r="Q57" s="1">
        <f t="shared" si="4"/>
        <v>0.47368421052631576</v>
      </c>
      <c r="R57" s="1">
        <f t="shared" si="5"/>
        <v>0.1524390243902439</v>
      </c>
      <c r="S57" s="1">
        <f t="shared" si="6"/>
        <v>0.78125</v>
      </c>
      <c r="T57" s="1">
        <f t="shared" si="7"/>
        <v>3.4303617406636859</v>
      </c>
      <c r="V57" s="1">
        <f>Sheet3!AB57^2</f>
        <v>0.13068868595304403</v>
      </c>
      <c r="W57" s="1">
        <f>Sheet3!AC57^2</f>
        <v>0.40767088270600355</v>
      </c>
      <c r="X57" s="1">
        <f t="shared" si="8"/>
        <v>8.7561419588539504</v>
      </c>
      <c r="Y57" s="1">
        <f t="shared" si="16"/>
        <v>27.313949141302238</v>
      </c>
      <c r="Z57" s="1">
        <f t="shared" si="10"/>
        <v>741.66590000000008</v>
      </c>
      <c r="AA57" s="1">
        <f t="shared" si="11"/>
        <v>2419.9106999999995</v>
      </c>
      <c r="AB57" s="1">
        <f t="shared" si="18"/>
        <v>0.76541264254043373</v>
      </c>
      <c r="AC57" s="1">
        <f t="shared" si="20"/>
        <v>0.23458735745956627</v>
      </c>
      <c r="AD57" s="1">
        <f>ABS(AB57 - Sheet3!AB57)</f>
        <v>0.4039037409169135</v>
      </c>
      <c r="AF57" s="15">
        <f t="shared" si="14"/>
        <v>1</v>
      </c>
      <c r="AG57" s="15">
        <f t="shared" si="19"/>
        <v>0</v>
      </c>
    </row>
    <row r="58" spans="1:33" x14ac:dyDescent="0.3">
      <c r="A58" s="2">
        <v>202209</v>
      </c>
      <c r="B58" s="6">
        <v>44817</v>
      </c>
      <c r="C58" s="3">
        <v>59</v>
      </c>
      <c r="D58" s="3">
        <v>81</v>
      </c>
      <c r="E58" s="3">
        <v>52</v>
      </c>
      <c r="F58" s="3">
        <v>18</v>
      </c>
      <c r="G58" s="3">
        <v>45</v>
      </c>
      <c r="H58" s="3">
        <v>32</v>
      </c>
      <c r="I58" s="3">
        <v>81</v>
      </c>
      <c r="J58" s="3" t="s">
        <v>19</v>
      </c>
      <c r="K58" s="3" t="s">
        <v>20</v>
      </c>
      <c r="L58" s="3" t="s">
        <v>26</v>
      </c>
      <c r="N58" s="1">
        <f t="shared" si="1"/>
        <v>0.55172413793103448</v>
      </c>
      <c r="O58" s="1">
        <f t="shared" si="2"/>
        <v>0.3619047619047619</v>
      </c>
      <c r="P58" s="1">
        <f t="shared" si="3"/>
        <v>0.58333333333333337</v>
      </c>
      <c r="Q58" s="1">
        <f t="shared" si="4"/>
        <v>0.47368421052631576</v>
      </c>
      <c r="R58" s="1">
        <f t="shared" si="5"/>
        <v>0.17073170731707318</v>
      </c>
      <c r="S58" s="1">
        <f t="shared" si="6"/>
        <v>0.59375</v>
      </c>
      <c r="T58" s="1">
        <f t="shared" si="7"/>
        <v>2.7351281510125185</v>
      </c>
      <c r="V58" s="1">
        <f>Sheet3!AB58^2</f>
        <v>8.2478693027182054E-2</v>
      </c>
      <c r="W58" s="1">
        <f>Sheet3!AC58^2</f>
        <v>0.50809661452130783</v>
      </c>
      <c r="X58" s="1">
        <f t="shared" si="8"/>
        <v>4.8662428886037414</v>
      </c>
      <c r="Y58" s="1">
        <f t="shared" si="16"/>
        <v>29.977700256757164</v>
      </c>
      <c r="Z58" s="1">
        <f t="shared" si="10"/>
        <v>340.64589999999987</v>
      </c>
      <c r="AA58" s="1">
        <f t="shared" si="11"/>
        <v>2933.0506999999993</v>
      </c>
      <c r="AB58" s="1">
        <f t="shared" si="18"/>
        <v>0.89594457226121693</v>
      </c>
      <c r="AC58" s="1">
        <f t="shared" si="20"/>
        <v>0.10405542773878312</v>
      </c>
      <c r="AD58" s="1">
        <f>ABS(AB58 - Sheet3!AB58)</f>
        <v>0.60875353300827983</v>
      </c>
      <c r="AF58" s="15">
        <f t="shared" si="14"/>
        <v>1</v>
      </c>
      <c r="AG58" s="15">
        <f t="shared" si="19"/>
        <v>1</v>
      </c>
    </row>
    <row r="59" spans="1:33" x14ac:dyDescent="0.3">
      <c r="A59" s="2">
        <v>202209</v>
      </c>
      <c r="B59" s="6">
        <v>44816</v>
      </c>
      <c r="C59" s="3">
        <v>53</v>
      </c>
      <c r="D59" s="3">
        <v>79</v>
      </c>
      <c r="E59" s="3">
        <v>52</v>
      </c>
      <c r="F59" s="3">
        <v>18</v>
      </c>
      <c r="G59" s="3">
        <v>35</v>
      </c>
      <c r="H59" s="3">
        <v>27</v>
      </c>
      <c r="I59" s="3">
        <v>79</v>
      </c>
      <c r="J59" s="3" t="s">
        <v>19</v>
      </c>
      <c r="K59" s="3" t="s">
        <v>20</v>
      </c>
      <c r="L59" s="3" t="s">
        <v>21</v>
      </c>
      <c r="N59" s="1">
        <f t="shared" si="1"/>
        <v>0.44827586206896552</v>
      </c>
      <c r="O59" s="1">
        <f t="shared" si="2"/>
        <v>0.34285714285714286</v>
      </c>
      <c r="P59" s="1">
        <f t="shared" si="3"/>
        <v>0.58333333333333337</v>
      </c>
      <c r="Q59" s="1">
        <f t="shared" si="4"/>
        <v>0.47368421052631576</v>
      </c>
      <c r="R59" s="1">
        <f t="shared" si="5"/>
        <v>0.10975609756097561</v>
      </c>
      <c r="S59" s="1">
        <f t="shared" si="6"/>
        <v>0.4375</v>
      </c>
      <c r="T59" s="1">
        <f t="shared" si="7"/>
        <v>2.3954066463467329</v>
      </c>
      <c r="V59" s="1">
        <f>Sheet3!AB59^2</f>
        <v>0.10547273015828447</v>
      </c>
      <c r="W59" s="1">
        <f>Sheet3!AC59^2</f>
        <v>0.45594142172647539</v>
      </c>
      <c r="X59" s="1">
        <f t="shared" si="8"/>
        <v>5.5900546983890766</v>
      </c>
      <c r="Y59" s="1">
        <f t="shared" si="16"/>
        <v>24.164895351503194</v>
      </c>
      <c r="Z59" s="1">
        <f t="shared" si="10"/>
        <v>781.98589999999979</v>
      </c>
      <c r="AA59" s="1">
        <f t="shared" si="11"/>
        <v>4176.0906999999997</v>
      </c>
      <c r="AB59" s="1">
        <f t="shared" si="18"/>
        <v>0.84228039155345047</v>
      </c>
      <c r="AC59" s="1">
        <f t="shared" si="20"/>
        <v>0.15771960844654959</v>
      </c>
      <c r="AD59" s="1">
        <f>ABS(AB59 - Sheet3!AB59)</f>
        <v>0.51751473733754594</v>
      </c>
      <c r="AF59" s="15">
        <f t="shared" si="14"/>
        <v>1</v>
      </c>
      <c r="AG59" s="15">
        <f t="shared" si="19"/>
        <v>1</v>
      </c>
    </row>
    <row r="60" spans="1:33" x14ac:dyDescent="0.3">
      <c r="A60" s="2">
        <v>202209</v>
      </c>
      <c r="B60" s="6">
        <v>44815</v>
      </c>
      <c r="C60" s="3">
        <v>64</v>
      </c>
      <c r="D60" s="3">
        <v>88</v>
      </c>
      <c r="E60" s="3">
        <v>51</v>
      </c>
      <c r="F60" s="3">
        <v>20</v>
      </c>
      <c r="G60" s="3">
        <v>37</v>
      </c>
      <c r="H60" s="3">
        <v>34</v>
      </c>
      <c r="I60" s="3">
        <v>88</v>
      </c>
      <c r="J60" s="3" t="s">
        <v>19</v>
      </c>
      <c r="K60" s="3" t="s">
        <v>20</v>
      </c>
      <c r="L60" s="3" t="s">
        <v>21</v>
      </c>
      <c r="N60" s="1">
        <f t="shared" si="1"/>
        <v>0.63793103448275867</v>
      </c>
      <c r="O60" s="1">
        <f t="shared" si="2"/>
        <v>0.42857142857142855</v>
      </c>
      <c r="P60" s="1">
        <f t="shared" si="3"/>
        <v>0.5</v>
      </c>
      <c r="Q60" s="1">
        <f t="shared" si="4"/>
        <v>0.57894736842105265</v>
      </c>
      <c r="R60" s="1">
        <f t="shared" si="5"/>
        <v>0.12195121951219512</v>
      </c>
      <c r="S60" s="1">
        <f t="shared" si="6"/>
        <v>0.65625</v>
      </c>
      <c r="T60" s="1">
        <f t="shared" si="7"/>
        <v>2.9236510509874352</v>
      </c>
      <c r="V60" s="1">
        <f>Sheet3!AB60^2</f>
        <v>6.1295527506268321E-2</v>
      </c>
      <c r="W60" s="1">
        <f>Sheet3!AC60^2</f>
        <v>0.56613685594221974</v>
      </c>
      <c r="X60" s="1">
        <f t="shared" si="8"/>
        <v>3.9229137604011726</v>
      </c>
      <c r="Y60" s="1">
        <f t="shared" si="16"/>
        <v>36.232758780302063</v>
      </c>
      <c r="Z60" s="1">
        <f t="shared" si="10"/>
        <v>478.52589999999981</v>
      </c>
      <c r="AA60" s="1">
        <f t="shared" si="11"/>
        <v>3300.5306999999993</v>
      </c>
      <c r="AB60" s="1">
        <f t="shared" si="18"/>
        <v>0.87337424371998029</v>
      </c>
      <c r="AC60" s="1">
        <f t="shared" si="20"/>
        <v>0.12662575628001971</v>
      </c>
      <c r="AD60" s="1">
        <f>ABS(AB60 - Sheet3!AB60)</f>
        <v>0.625794907937956</v>
      </c>
      <c r="AF60" s="15">
        <f t="shared" si="14"/>
        <v>1</v>
      </c>
      <c r="AG60" s="15">
        <f t="shared" si="19"/>
        <v>1</v>
      </c>
    </row>
    <row r="61" spans="1:33" x14ac:dyDescent="0.3">
      <c r="A61" s="2">
        <v>202209</v>
      </c>
      <c r="B61" s="6">
        <v>44814</v>
      </c>
      <c r="C61" s="3">
        <v>56</v>
      </c>
      <c r="D61" s="3">
        <v>72</v>
      </c>
      <c r="E61" s="3">
        <v>48</v>
      </c>
      <c r="F61" s="3">
        <v>22</v>
      </c>
      <c r="G61" s="3">
        <v>41</v>
      </c>
      <c r="H61" s="3">
        <v>39</v>
      </c>
      <c r="I61" s="3">
        <v>72</v>
      </c>
      <c r="J61" s="3" t="s">
        <v>19</v>
      </c>
      <c r="K61" s="3" t="s">
        <v>20</v>
      </c>
      <c r="L61" s="3" t="s">
        <v>21</v>
      </c>
      <c r="N61" s="1">
        <f t="shared" si="1"/>
        <v>0.5</v>
      </c>
      <c r="O61" s="1">
        <f t="shared" si="2"/>
        <v>0.27619047619047621</v>
      </c>
      <c r="P61" s="1">
        <f t="shared" si="3"/>
        <v>0.25</v>
      </c>
      <c r="Q61" s="1">
        <f t="shared" si="4"/>
        <v>0.68421052631578949</v>
      </c>
      <c r="R61" s="1">
        <f t="shared" si="5"/>
        <v>0.14634146341463414</v>
      </c>
      <c r="S61" s="1">
        <f t="shared" si="6"/>
        <v>0.8125</v>
      </c>
      <c r="T61" s="1">
        <f t="shared" si="7"/>
        <v>2.6692424659208998</v>
      </c>
      <c r="V61" s="1">
        <f>Sheet3!AB61^2</f>
        <v>0.15419225948497037</v>
      </c>
      <c r="W61" s="1">
        <f>Sheet3!AC61^2</f>
        <v>0.36884581495244345</v>
      </c>
      <c r="X61" s="1">
        <f t="shared" si="8"/>
        <v>8.6347665311583413</v>
      </c>
      <c r="Y61" s="1">
        <f t="shared" si="16"/>
        <v>20.655365637336832</v>
      </c>
      <c r="Z61" s="1">
        <f t="shared" si="10"/>
        <v>942.48589999999956</v>
      </c>
      <c r="AA61" s="1">
        <f t="shared" si="11"/>
        <v>4117.8107</v>
      </c>
      <c r="AB61" s="1">
        <f t="shared" si="18"/>
        <v>0.81374888183431782</v>
      </c>
      <c r="AC61" s="1">
        <f t="shared" si="20"/>
        <v>0.18625111816568216</v>
      </c>
      <c r="AD61" s="1">
        <f>ABS(AB61 - Sheet3!AB61)</f>
        <v>0.42107565956805432</v>
      </c>
      <c r="AF61" s="15">
        <f t="shared" si="14"/>
        <v>1</v>
      </c>
      <c r="AG61" s="15">
        <f t="shared" si="19"/>
        <v>1</v>
      </c>
    </row>
    <row r="62" spans="1:33" x14ac:dyDescent="0.3">
      <c r="A62" s="2">
        <v>202209</v>
      </c>
      <c r="B62" s="6">
        <v>44813</v>
      </c>
      <c r="C62" s="3">
        <v>71</v>
      </c>
      <c r="D62" s="3">
        <v>91</v>
      </c>
      <c r="E62" s="3">
        <v>49</v>
      </c>
      <c r="F62" s="3">
        <v>28</v>
      </c>
      <c r="G62" s="3">
        <v>32</v>
      </c>
      <c r="H62" s="3">
        <v>43</v>
      </c>
      <c r="I62" s="3">
        <v>91</v>
      </c>
      <c r="J62" s="3" t="s">
        <v>19</v>
      </c>
      <c r="K62" s="3" t="s">
        <v>20</v>
      </c>
      <c r="L62" s="3" t="s">
        <v>24</v>
      </c>
      <c r="N62" s="1">
        <f t="shared" si="1"/>
        <v>0.75862068965517238</v>
      </c>
      <c r="O62" s="1">
        <f t="shared" si="2"/>
        <v>0.45714285714285713</v>
      </c>
      <c r="P62" s="1">
        <f t="shared" si="3"/>
        <v>0.33333333333333331</v>
      </c>
      <c r="Q62" s="1">
        <f t="shared" si="4"/>
        <v>1</v>
      </c>
      <c r="R62" s="1">
        <f t="shared" si="5"/>
        <v>9.1463414634146339E-2</v>
      </c>
      <c r="S62" s="1">
        <f t="shared" si="6"/>
        <v>0.9375</v>
      </c>
      <c r="T62" s="1">
        <f t="shared" si="7"/>
        <v>3.5780602947655091</v>
      </c>
      <c r="V62" s="1">
        <f>Sheet3!AB62^2</f>
        <v>0.12013041451253491</v>
      </c>
      <c r="W62" s="1">
        <f>Sheet3!AC62^2</f>
        <v>0.42693371944674074</v>
      </c>
      <c r="X62" s="1">
        <f t="shared" si="8"/>
        <v>8.5292594303899794</v>
      </c>
      <c r="Y62" s="1">
        <f t="shared" si="16"/>
        <v>30.312294080718594</v>
      </c>
      <c r="Z62" s="1">
        <f t="shared" si="10"/>
        <v>1070.8858999999998</v>
      </c>
      <c r="AA62" s="1">
        <f t="shared" si="11"/>
        <v>4014.5106999999994</v>
      </c>
      <c r="AB62" s="1">
        <f t="shared" si="18"/>
        <v>0.7894193935631294</v>
      </c>
      <c r="AC62" s="1">
        <f t="shared" si="20"/>
        <v>0.21058060643687063</v>
      </c>
      <c r="AD62" s="1">
        <f>ABS(AB62 - Sheet3!AB62)</f>
        <v>0.44282104603023231</v>
      </c>
      <c r="AF62" s="15">
        <f t="shared" si="14"/>
        <v>1</v>
      </c>
      <c r="AG62" s="15">
        <f t="shared" si="19"/>
        <v>1</v>
      </c>
    </row>
    <row r="63" spans="1:33" x14ac:dyDescent="0.3">
      <c r="A63" s="2">
        <v>202209</v>
      </c>
      <c r="B63" s="6">
        <v>44812</v>
      </c>
      <c r="C63" s="3">
        <v>61</v>
      </c>
      <c r="D63" s="3">
        <v>87</v>
      </c>
      <c r="E63" s="3">
        <v>48</v>
      </c>
      <c r="F63" s="3">
        <v>26</v>
      </c>
      <c r="G63" s="3">
        <v>32</v>
      </c>
      <c r="H63" s="3">
        <v>45</v>
      </c>
      <c r="I63" s="3">
        <v>87</v>
      </c>
      <c r="J63" s="3" t="s">
        <v>19</v>
      </c>
      <c r="K63" s="3" t="s">
        <v>20</v>
      </c>
      <c r="L63" s="3" t="s">
        <v>21</v>
      </c>
      <c r="N63" s="1">
        <f t="shared" si="1"/>
        <v>0.58620689655172409</v>
      </c>
      <c r="O63" s="1">
        <f t="shared" si="2"/>
        <v>0.41904761904761906</v>
      </c>
      <c r="P63" s="1">
        <f t="shared" si="3"/>
        <v>0.25</v>
      </c>
      <c r="Q63" s="1">
        <f t="shared" si="4"/>
        <v>0.89473684210526316</v>
      </c>
      <c r="R63" s="1">
        <f t="shared" si="5"/>
        <v>9.1463414634146339E-2</v>
      </c>
      <c r="S63" s="1">
        <f t="shared" si="6"/>
        <v>1</v>
      </c>
      <c r="T63" s="1">
        <f t="shared" si="7"/>
        <v>3.2414547723387526</v>
      </c>
      <c r="V63" s="1">
        <f>Sheet3!AB63^2</f>
        <v>0.11647053609379793</v>
      </c>
      <c r="W63" s="1">
        <f>Sheet3!AC63^2</f>
        <v>0.43391493808350268</v>
      </c>
      <c r="X63" s="1">
        <f t="shared" si="8"/>
        <v>7.1047027017216733</v>
      </c>
      <c r="Y63" s="1">
        <f t="shared" si="16"/>
        <v>26.468811223093663</v>
      </c>
      <c r="Z63" s="1">
        <f t="shared" si="10"/>
        <v>1079.3458999999998</v>
      </c>
      <c r="AA63" s="1">
        <f t="shared" si="11"/>
        <v>4300.6706999999988</v>
      </c>
      <c r="AB63" s="1">
        <f t="shared" si="18"/>
        <v>0.79937870451923876</v>
      </c>
      <c r="AC63" s="1">
        <f t="shared" si="20"/>
        <v>0.20062129548076116</v>
      </c>
      <c r="AD63" s="1">
        <f>ABS(AB63 - Sheet3!AB63)</f>
        <v>0.45810090551409116</v>
      </c>
      <c r="AF63" s="15">
        <f t="shared" si="14"/>
        <v>1</v>
      </c>
      <c r="AG63" s="15">
        <f t="shared" si="19"/>
        <v>1</v>
      </c>
    </row>
    <row r="64" spans="1:33" x14ac:dyDescent="0.3">
      <c r="A64" s="2">
        <v>202209</v>
      </c>
      <c r="B64" s="6">
        <v>44811</v>
      </c>
      <c r="C64" s="3">
        <v>55</v>
      </c>
      <c r="D64" s="3">
        <v>79</v>
      </c>
      <c r="E64" s="3">
        <v>49</v>
      </c>
      <c r="F64" s="3">
        <v>15</v>
      </c>
      <c r="G64" s="3">
        <v>38</v>
      </c>
      <c r="H64" s="3">
        <v>21</v>
      </c>
      <c r="I64" s="3">
        <v>79</v>
      </c>
      <c r="J64" s="3" t="s">
        <v>19</v>
      </c>
      <c r="K64" s="3" t="s">
        <v>20</v>
      </c>
      <c r="L64" s="3" t="s">
        <v>21</v>
      </c>
      <c r="N64" s="1">
        <f t="shared" si="1"/>
        <v>0.48275862068965519</v>
      </c>
      <c r="O64" s="1">
        <f t="shared" si="2"/>
        <v>0.34285714285714286</v>
      </c>
      <c r="P64" s="1">
        <f t="shared" si="3"/>
        <v>0.33333333333333331</v>
      </c>
      <c r="Q64" s="1">
        <f t="shared" si="4"/>
        <v>0.31578947368421051</v>
      </c>
      <c r="R64" s="1">
        <f t="shared" si="5"/>
        <v>0.12804878048780488</v>
      </c>
      <c r="S64" s="1">
        <f t="shared" si="6"/>
        <v>0.25</v>
      </c>
      <c r="T64" s="1">
        <f t="shared" si="7"/>
        <v>1.8527873510521466</v>
      </c>
      <c r="V64" s="1">
        <f>Sheet3!AB64^2</f>
        <v>0.11121962675061678</v>
      </c>
      <c r="W64" s="1">
        <f>Sheet3!AC64^2</f>
        <v>0.44422749261223948</v>
      </c>
      <c r="X64" s="1">
        <f t="shared" si="8"/>
        <v>6.1170794712839225</v>
      </c>
      <c r="Y64" s="1">
        <f t="shared" si="16"/>
        <v>24.432512093673171</v>
      </c>
      <c r="Z64" s="1">
        <f t="shared" si="10"/>
        <v>654.72589999999968</v>
      </c>
      <c r="AA64" s="1">
        <f t="shared" si="11"/>
        <v>3818.7506999999996</v>
      </c>
      <c r="AB64" s="1">
        <f t="shared" si="18"/>
        <v>0.85364271269464109</v>
      </c>
      <c r="AC64" s="1">
        <f t="shared" si="20"/>
        <v>0.14635728730535882</v>
      </c>
      <c r="AD64" s="1">
        <f>ABS(AB64 - Sheet3!AB64)</f>
        <v>0.52014664562545243</v>
      </c>
      <c r="AF64" s="15">
        <f t="shared" si="14"/>
        <v>1</v>
      </c>
      <c r="AG64" s="15">
        <f t="shared" si="19"/>
        <v>1</v>
      </c>
    </row>
    <row r="65" spans="1:33" x14ac:dyDescent="0.3">
      <c r="A65" s="2">
        <v>202209</v>
      </c>
      <c r="B65" s="6">
        <v>44810</v>
      </c>
      <c r="C65" s="3">
        <v>63</v>
      </c>
      <c r="D65" s="3">
        <v>86</v>
      </c>
      <c r="E65" s="3">
        <v>51</v>
      </c>
      <c r="F65" s="3">
        <v>12</v>
      </c>
      <c r="G65" s="3">
        <v>43</v>
      </c>
      <c r="H65" s="3">
        <v>17</v>
      </c>
      <c r="I65" s="3">
        <v>86</v>
      </c>
      <c r="J65" s="3" t="s">
        <v>19</v>
      </c>
      <c r="K65" s="3" t="s">
        <v>20</v>
      </c>
      <c r="L65" s="3" t="s">
        <v>21</v>
      </c>
      <c r="N65" s="1">
        <f t="shared" si="1"/>
        <v>0.62068965517241381</v>
      </c>
      <c r="O65" s="1">
        <f t="shared" si="2"/>
        <v>0.40952380952380951</v>
      </c>
      <c r="P65" s="1">
        <f t="shared" si="3"/>
        <v>0.5</v>
      </c>
      <c r="Q65" s="1">
        <f t="shared" si="4"/>
        <v>0.15789473684210525</v>
      </c>
      <c r="R65" s="1">
        <f t="shared" si="5"/>
        <v>0.15853658536585366</v>
      </c>
      <c r="S65" s="1">
        <f t="shared" si="6"/>
        <v>0.125</v>
      </c>
      <c r="T65" s="1">
        <f t="shared" si="7"/>
        <v>1.9716447869041822</v>
      </c>
      <c r="V65" s="1">
        <f>Sheet3!AB65^2</f>
        <v>0.10010892732458737</v>
      </c>
      <c r="W65" s="1">
        <f>Sheet3!AC65^2</f>
        <v>0.46730903059707568</v>
      </c>
      <c r="X65" s="1">
        <f t="shared" si="8"/>
        <v>6.3068624214490043</v>
      </c>
      <c r="Y65" s="1">
        <f t="shared" si="16"/>
        <v>29.440468927615768</v>
      </c>
      <c r="Z65" s="1">
        <f t="shared" si="10"/>
        <v>352.46589999999986</v>
      </c>
      <c r="AA65" s="1">
        <f t="shared" si="11"/>
        <v>2856.0706999999993</v>
      </c>
      <c r="AB65" s="1">
        <f t="shared" si="18"/>
        <v>0.89014745850179799</v>
      </c>
      <c r="AC65" s="1">
        <f t="shared" si="20"/>
        <v>0.10985254149820199</v>
      </c>
      <c r="AD65" s="1">
        <f>ABS(AB65 - Sheet3!AB65)</f>
        <v>0.57374751013804215</v>
      </c>
      <c r="AF65" s="15">
        <f t="shared" si="14"/>
        <v>1</v>
      </c>
      <c r="AG65" s="15">
        <f t="shared" si="19"/>
        <v>1</v>
      </c>
    </row>
    <row r="66" spans="1:33" ht="27.6" x14ac:dyDescent="0.3">
      <c r="A66" s="2">
        <v>202209</v>
      </c>
      <c r="B66" s="6">
        <v>44809</v>
      </c>
      <c r="C66" s="3">
        <v>59</v>
      </c>
      <c r="D66" s="3">
        <v>105</v>
      </c>
      <c r="E66" s="3">
        <v>51</v>
      </c>
      <c r="F66" s="3">
        <v>15</v>
      </c>
      <c r="G66" s="3">
        <v>45</v>
      </c>
      <c r="H66" s="3">
        <v>23</v>
      </c>
      <c r="I66" s="3">
        <v>105</v>
      </c>
      <c r="J66" s="3" t="s">
        <v>19</v>
      </c>
      <c r="K66" s="3" t="s">
        <v>22</v>
      </c>
      <c r="L66" s="3" t="s">
        <v>21</v>
      </c>
      <c r="N66" s="1">
        <f t="shared" si="1"/>
        <v>0.55172413793103448</v>
      </c>
      <c r="O66" s="1">
        <f t="shared" si="2"/>
        <v>0.59047619047619049</v>
      </c>
      <c r="P66" s="1">
        <f t="shared" si="3"/>
        <v>0.5</v>
      </c>
      <c r="Q66" s="1">
        <f t="shared" si="4"/>
        <v>0.31578947368421051</v>
      </c>
      <c r="R66" s="1">
        <f t="shared" si="5"/>
        <v>0.17073170731707318</v>
      </c>
      <c r="S66" s="1">
        <f t="shared" si="6"/>
        <v>0.3125</v>
      </c>
      <c r="T66" s="1">
        <f t="shared" si="7"/>
        <v>2.4412215094085088</v>
      </c>
      <c r="V66" s="1">
        <f>Sheet3!AB66^2</f>
        <v>7.8163481001909965E-2</v>
      </c>
      <c r="W66" s="1">
        <f>Sheet3!AC66^2</f>
        <v>0.51900882975805251</v>
      </c>
      <c r="X66" s="1">
        <f t="shared" si="8"/>
        <v>4.6116453791126881</v>
      </c>
      <c r="Y66" s="1">
        <f t="shared" si="16"/>
        <v>30.621520955725099</v>
      </c>
      <c r="Z66" s="1">
        <f t="shared" si="10"/>
        <v>296.16589999999997</v>
      </c>
      <c r="AA66" s="1">
        <f t="shared" si="11"/>
        <v>2132.0506999999998</v>
      </c>
      <c r="AB66" s="1">
        <f t="shared" si="18"/>
        <v>0.87803151498099474</v>
      </c>
      <c r="AC66" s="1">
        <f t="shared" si="20"/>
        <v>0.1219684850190053</v>
      </c>
      <c r="AD66" s="1">
        <f>ABS(AB66 - Sheet3!AB66)</f>
        <v>0.59845418935906602</v>
      </c>
      <c r="AF66" s="15">
        <f t="shared" si="14"/>
        <v>1</v>
      </c>
      <c r="AG66" s="15">
        <f t="shared" si="19"/>
        <v>0</v>
      </c>
    </row>
    <row r="67" spans="1:33" x14ac:dyDescent="0.3">
      <c r="A67" s="2">
        <v>202209</v>
      </c>
      <c r="B67" s="6">
        <v>44808</v>
      </c>
      <c r="C67" s="3">
        <v>42</v>
      </c>
      <c r="D67" s="3">
        <v>76</v>
      </c>
      <c r="E67" s="3">
        <v>50</v>
      </c>
      <c r="F67" s="3">
        <v>9</v>
      </c>
      <c r="G67" s="3">
        <v>33</v>
      </c>
      <c r="H67" s="3">
        <v>14</v>
      </c>
      <c r="I67" s="3">
        <v>76</v>
      </c>
      <c r="J67" s="3" t="s">
        <v>19</v>
      </c>
      <c r="K67" s="3" t="s">
        <v>20</v>
      </c>
      <c r="L67" s="3" t="s">
        <v>21</v>
      </c>
      <c r="N67" s="1">
        <f t="shared" ref="N67:N98" si="21">(C67-MIN(C$2:C$99))/(MAX(C$2:C$99)-MIN(C$2:C$99))</f>
        <v>0.25862068965517243</v>
      </c>
      <c r="O67" s="1">
        <f t="shared" ref="O67:O98" si="22">(D67-MIN(D$2:D$99))/(MAX(D$2:D$99)-MIN(D$2:D$99))</f>
        <v>0.31428571428571428</v>
      </c>
      <c r="P67" s="1">
        <f t="shared" ref="P67:P98" si="23">(E67-MIN(E$2:E$99))/(MAX(E$2:E$99)-MIN(E$2:E$99))</f>
        <v>0.41666666666666669</v>
      </c>
      <c r="Q67" s="1">
        <f t="shared" ref="Q67:Q98" si="24">(F67-MIN(F$2:F$99))/(MAX(F$2:F$99)-MIN(F$2:F$99))</f>
        <v>0</v>
      </c>
      <c r="R67" s="1">
        <f t="shared" ref="R67:R98" si="25">(G67-MIN(G$2:G$99))/(MAX(G$2:G$99)-MIN(G$2:G$99))</f>
        <v>9.7560975609756101E-2</v>
      </c>
      <c r="S67" s="1">
        <f t="shared" ref="S67:S98" si="26">(H67-MIN(H$2:H$99))/(MAX(H$2:H$99)-MIN(H$2:H$99))</f>
        <v>3.125E-2</v>
      </c>
      <c r="T67" s="1">
        <f t="shared" ref="T67:T98" si="27">SUM(N67:S67)</f>
        <v>1.1183840462173096</v>
      </c>
      <c r="V67" s="1">
        <f>Sheet3!AB67^2</f>
        <v>0.16568499451597993</v>
      </c>
      <c r="W67" s="1">
        <f>Sheet3!AC67^2</f>
        <v>0.35159656070554934</v>
      </c>
      <c r="X67" s="1">
        <f t="shared" ref="X67:X98" si="28">V67 * C67</f>
        <v>6.9587697696711572</v>
      </c>
      <c r="Y67" s="1">
        <f t="shared" ref="Y67:Y98" si="29">W67 * C67</f>
        <v>14.767055549633072</v>
      </c>
      <c r="Z67" s="1">
        <f t="shared" ref="Z67:Z98" si="30">(C67 - 63.12)^2 + (D67 - 93.55)^2 + (E67 - 50.11)^2 + (F67 - 16.32)^2 + (G67 - 56.48)^2 + (H67 - 26.71)^2</f>
        <v>1520.5058999999997</v>
      </c>
      <c r="AA67" s="1">
        <f t="shared" ref="AA67:AA98" si="31">(C67 - 70.45)^2 + (D67 - 109.21)^2 + (E67 - 49.52)^2 + (F67 - 17.48)^2 + (G67 - 89.33)^2 + (H67 - 26.12)^2</f>
        <v>5304.4106999999995</v>
      </c>
      <c r="AB67" s="1">
        <f t="shared" ref="AB67:AB98" si="32">(1/Z67) / ((1/Z67) + (1/AA67))</f>
        <v>0.7772125303333377</v>
      </c>
      <c r="AC67" s="1">
        <f t="shared" ref="AC67:AC98" si="33">(1/AA67) / ((1/Z67) + (1/AA67))</f>
        <v>0.2227874696666623</v>
      </c>
      <c r="AD67" s="1">
        <f>ABS(AB67 - Sheet3!AB67)</f>
        <v>0.37016831342812245</v>
      </c>
      <c r="AF67" s="15">
        <f t="shared" ref="AF67:AF99" si="34">IF(AB67 &gt; AC67, 1, 2)</f>
        <v>1</v>
      </c>
      <c r="AG67" s="15">
        <f t="shared" ref="AG67:AG99" si="35">IF(OR(AND(AF67=1, K67="SEDANG"), AND(AF67=2, K67="TIDAK SEHAT")), 1, 0)</f>
        <v>1</v>
      </c>
    </row>
    <row r="68" spans="1:33" ht="27.6" x14ac:dyDescent="0.3">
      <c r="A68" s="2">
        <v>202209</v>
      </c>
      <c r="B68" s="6">
        <v>44807</v>
      </c>
      <c r="C68" s="3">
        <v>64</v>
      </c>
      <c r="D68" s="3">
        <v>102</v>
      </c>
      <c r="E68" s="3">
        <v>50</v>
      </c>
      <c r="F68" s="3">
        <v>18</v>
      </c>
      <c r="G68" s="3">
        <v>37</v>
      </c>
      <c r="H68" s="3">
        <v>31</v>
      </c>
      <c r="I68" s="3">
        <v>102</v>
      </c>
      <c r="J68" s="3" t="s">
        <v>19</v>
      </c>
      <c r="K68" s="3" t="s">
        <v>22</v>
      </c>
      <c r="L68" s="3" t="s">
        <v>21</v>
      </c>
      <c r="N68" s="1">
        <f t="shared" si="21"/>
        <v>0.63793103448275867</v>
      </c>
      <c r="O68" s="1">
        <f t="shared" si="22"/>
        <v>0.56190476190476191</v>
      </c>
      <c r="P68" s="1">
        <f t="shared" si="23"/>
        <v>0.41666666666666669</v>
      </c>
      <c r="Q68" s="1">
        <f t="shared" si="24"/>
        <v>0.47368421052631576</v>
      </c>
      <c r="R68" s="1">
        <f t="shared" si="25"/>
        <v>0.12195121951219512</v>
      </c>
      <c r="S68" s="1">
        <f t="shared" si="26"/>
        <v>0.5625</v>
      </c>
      <c r="T68" s="1">
        <f t="shared" si="27"/>
        <v>2.7746378930926983</v>
      </c>
      <c r="V68" s="1">
        <f>Sheet3!AB68^2</f>
        <v>6.3082214786402455E-2</v>
      </c>
      <c r="W68" s="1">
        <f>Sheet3!AC68^2</f>
        <v>0.56075875411030596</v>
      </c>
      <c r="X68" s="1">
        <f t="shared" si="28"/>
        <v>4.0372617463297571</v>
      </c>
      <c r="Y68" s="1">
        <f t="shared" si="29"/>
        <v>35.888560263059581</v>
      </c>
      <c r="Z68" s="1">
        <f t="shared" si="30"/>
        <v>472.88589999999988</v>
      </c>
      <c r="AA68" s="1">
        <f t="shared" si="31"/>
        <v>2856.3307</v>
      </c>
      <c r="AB68" s="1">
        <f t="shared" si="32"/>
        <v>0.85795880628493792</v>
      </c>
      <c r="AC68" s="1">
        <f t="shared" si="33"/>
        <v>0.14204119371506194</v>
      </c>
      <c r="AD68" s="1">
        <f>ABS(AB68 - Sheet3!AB68)</f>
        <v>0.6067970759468897</v>
      </c>
      <c r="AF68" s="15">
        <f t="shared" si="34"/>
        <v>1</v>
      </c>
      <c r="AG68" s="15">
        <f t="shared" si="35"/>
        <v>0</v>
      </c>
    </row>
    <row r="69" spans="1:33" ht="27.6" x14ac:dyDescent="0.3">
      <c r="A69" s="2">
        <v>202209</v>
      </c>
      <c r="B69" s="6">
        <v>44806</v>
      </c>
      <c r="C69" s="3">
        <v>71</v>
      </c>
      <c r="D69" s="3">
        <v>108</v>
      </c>
      <c r="E69" s="3">
        <v>51</v>
      </c>
      <c r="F69" s="3">
        <v>21</v>
      </c>
      <c r="G69" s="3">
        <v>35</v>
      </c>
      <c r="H69" s="3">
        <v>32</v>
      </c>
      <c r="I69" s="3">
        <v>108</v>
      </c>
      <c r="J69" s="3" t="s">
        <v>19</v>
      </c>
      <c r="K69" s="3" t="s">
        <v>22</v>
      </c>
      <c r="L69" s="3" t="s">
        <v>21</v>
      </c>
      <c r="N69" s="1">
        <f t="shared" si="21"/>
        <v>0.75862068965517238</v>
      </c>
      <c r="O69" s="1">
        <f t="shared" si="22"/>
        <v>0.61904761904761907</v>
      </c>
      <c r="P69" s="1">
        <f t="shared" si="23"/>
        <v>0.5</v>
      </c>
      <c r="Q69" s="1">
        <f t="shared" si="24"/>
        <v>0.63157894736842102</v>
      </c>
      <c r="R69" s="1">
        <f t="shared" si="25"/>
        <v>0.10975609756097561</v>
      </c>
      <c r="S69" s="1">
        <f t="shared" si="26"/>
        <v>0.59375</v>
      </c>
      <c r="T69" s="1">
        <f t="shared" si="27"/>
        <v>3.2127533536321882</v>
      </c>
      <c r="V69" s="1">
        <f>Sheet3!AB69^2</f>
        <v>0.10696781120866632</v>
      </c>
      <c r="W69" s="1">
        <f>Sheet3!AC69^2</f>
        <v>0.45284913326507997</v>
      </c>
      <c r="X69" s="1">
        <f t="shared" si="28"/>
        <v>7.5947145958153088</v>
      </c>
      <c r="Y69" s="1">
        <f t="shared" si="29"/>
        <v>32.152288461820675</v>
      </c>
      <c r="Z69" s="1">
        <f t="shared" si="30"/>
        <v>782.96590000000003</v>
      </c>
      <c r="AA69" s="1">
        <f t="shared" si="31"/>
        <v>3002.6706999999997</v>
      </c>
      <c r="AB69" s="1">
        <f t="shared" si="32"/>
        <v>0.79317457465410179</v>
      </c>
      <c r="AC69" s="1">
        <f t="shared" si="33"/>
        <v>0.20682542534589826</v>
      </c>
      <c r="AD69" s="1">
        <f>ABS(AB69 - Sheet3!AB69)</f>
        <v>0.46611523568230862</v>
      </c>
      <c r="AF69" s="15">
        <f t="shared" si="34"/>
        <v>1</v>
      </c>
      <c r="AG69" s="15">
        <f t="shared" si="35"/>
        <v>0</v>
      </c>
    </row>
    <row r="70" spans="1:33" x14ac:dyDescent="0.3">
      <c r="A70" s="2">
        <v>202210</v>
      </c>
      <c r="B70" s="6">
        <v>44860</v>
      </c>
      <c r="C70" s="3">
        <v>39</v>
      </c>
      <c r="D70" s="3">
        <v>43</v>
      </c>
      <c r="E70" s="3">
        <v>51</v>
      </c>
      <c r="F70" s="3">
        <v>11</v>
      </c>
      <c r="G70" s="3">
        <v>27</v>
      </c>
      <c r="H70" s="3">
        <v>17</v>
      </c>
      <c r="I70" s="3">
        <v>51</v>
      </c>
      <c r="J70" s="3" t="s">
        <v>27</v>
      </c>
      <c r="K70" s="3" t="s">
        <v>20</v>
      </c>
      <c r="L70" s="3" t="s">
        <v>21</v>
      </c>
      <c r="N70" s="1">
        <f t="shared" si="21"/>
        <v>0.20689655172413793</v>
      </c>
      <c r="O70" s="1">
        <f t="shared" si="22"/>
        <v>0</v>
      </c>
      <c r="P70" s="1">
        <f t="shared" si="23"/>
        <v>0.5</v>
      </c>
      <c r="Q70" s="1">
        <f t="shared" si="24"/>
        <v>0.10526315789473684</v>
      </c>
      <c r="R70" s="1">
        <f t="shared" si="25"/>
        <v>6.097560975609756E-2</v>
      </c>
      <c r="S70" s="1">
        <f t="shared" si="26"/>
        <v>0.125</v>
      </c>
      <c r="T70" s="1">
        <f t="shared" si="27"/>
        <v>0.99813531937497224</v>
      </c>
      <c r="V70" s="1">
        <f>Sheet3!AB70^2</f>
        <v>0.21204985561958761</v>
      </c>
      <c r="W70" s="1">
        <f>Sheet3!AC70^2</f>
        <v>0.29107242784062715</v>
      </c>
      <c r="X70" s="1">
        <f t="shared" si="28"/>
        <v>8.2699443691639161</v>
      </c>
      <c r="Y70" s="1">
        <f t="shared" si="29"/>
        <v>11.351824685784459</v>
      </c>
      <c r="Z70" s="1">
        <f t="shared" si="30"/>
        <v>4129.5258999999996</v>
      </c>
      <c r="AA70" s="1">
        <f t="shared" si="31"/>
        <v>9385.2506999999987</v>
      </c>
      <c r="AB70" s="1">
        <f t="shared" si="32"/>
        <v>0.69444364326377395</v>
      </c>
      <c r="AC70" s="1">
        <f t="shared" si="33"/>
        <v>0.30555635673622605</v>
      </c>
      <c r="AD70" s="1">
        <f>ABS(AB70 - Sheet3!AB70)</f>
        <v>0.23395492937429369</v>
      </c>
      <c r="AF70" s="15">
        <f t="shared" si="34"/>
        <v>1</v>
      </c>
      <c r="AG70" s="15">
        <f t="shared" si="35"/>
        <v>1</v>
      </c>
    </row>
    <row r="71" spans="1:33" x14ac:dyDescent="0.3">
      <c r="A71" s="2">
        <v>202210</v>
      </c>
      <c r="B71" s="6">
        <v>44859</v>
      </c>
      <c r="C71" s="3">
        <v>27</v>
      </c>
      <c r="D71" s="3">
        <v>53</v>
      </c>
      <c r="E71" s="3">
        <v>51</v>
      </c>
      <c r="F71" s="3">
        <v>9</v>
      </c>
      <c r="G71" s="3">
        <v>30</v>
      </c>
      <c r="H71" s="3">
        <v>19</v>
      </c>
      <c r="I71" s="3">
        <v>53</v>
      </c>
      <c r="J71" s="3" t="s">
        <v>19</v>
      </c>
      <c r="K71" s="3" t="s">
        <v>20</v>
      </c>
      <c r="L71" s="3" t="s">
        <v>23</v>
      </c>
      <c r="N71" s="1">
        <f t="shared" si="21"/>
        <v>0</v>
      </c>
      <c r="O71" s="1">
        <f t="shared" si="22"/>
        <v>9.5238095238095233E-2</v>
      </c>
      <c r="P71" s="1">
        <f t="shared" si="23"/>
        <v>0.5</v>
      </c>
      <c r="Q71" s="1">
        <f t="shared" si="24"/>
        <v>0</v>
      </c>
      <c r="R71" s="1">
        <f t="shared" si="25"/>
        <v>7.926829268292683E-2</v>
      </c>
      <c r="S71" s="1">
        <f t="shared" si="26"/>
        <v>0.1875</v>
      </c>
      <c r="T71" s="1">
        <f t="shared" si="27"/>
        <v>0.86200638792102202</v>
      </c>
      <c r="V71" s="1">
        <f>Sheet3!AB71^2</f>
        <v>0.21175226813579615</v>
      </c>
      <c r="W71" s="1">
        <f>Sheet3!AC71^2</f>
        <v>0.29142130997825133</v>
      </c>
      <c r="X71" s="1">
        <f t="shared" si="28"/>
        <v>5.717311239666496</v>
      </c>
      <c r="Y71" s="1">
        <f t="shared" si="29"/>
        <v>7.868375369412786</v>
      </c>
      <c r="Z71" s="1">
        <f t="shared" si="30"/>
        <v>3763.9659000000001</v>
      </c>
      <c r="AA71" s="1">
        <f t="shared" si="31"/>
        <v>8692.3107</v>
      </c>
      <c r="AB71" s="1">
        <f t="shared" si="32"/>
        <v>0.69782576119094852</v>
      </c>
      <c r="AC71" s="1">
        <f t="shared" si="33"/>
        <v>0.30217423880905148</v>
      </c>
      <c r="AD71" s="1">
        <f>ABS(AB71 - Sheet3!AB71)</f>
        <v>0.2376602821121761</v>
      </c>
      <c r="AF71" s="15">
        <f t="shared" si="34"/>
        <v>1</v>
      </c>
      <c r="AG71" s="15">
        <f t="shared" si="35"/>
        <v>1</v>
      </c>
    </row>
    <row r="72" spans="1:33" x14ac:dyDescent="0.3">
      <c r="A72" s="2">
        <v>202210</v>
      </c>
      <c r="B72" s="6">
        <v>44858</v>
      </c>
      <c r="C72" s="3">
        <v>41</v>
      </c>
      <c r="D72" s="3">
        <v>57</v>
      </c>
      <c r="E72" s="3">
        <v>50</v>
      </c>
      <c r="F72" s="3">
        <v>10</v>
      </c>
      <c r="G72" s="3">
        <v>31</v>
      </c>
      <c r="H72" s="3">
        <v>18</v>
      </c>
      <c r="I72" s="3">
        <v>57</v>
      </c>
      <c r="J72" s="3" t="s">
        <v>19</v>
      </c>
      <c r="K72" s="3" t="s">
        <v>20</v>
      </c>
      <c r="L72" s="3" t="s">
        <v>21</v>
      </c>
      <c r="N72" s="1">
        <f t="shared" si="21"/>
        <v>0.2413793103448276</v>
      </c>
      <c r="O72" s="1">
        <f t="shared" si="22"/>
        <v>0.13333333333333333</v>
      </c>
      <c r="P72" s="1">
        <f t="shared" si="23"/>
        <v>0.41666666666666669</v>
      </c>
      <c r="Q72" s="1">
        <f t="shared" si="24"/>
        <v>5.2631578947368418E-2</v>
      </c>
      <c r="R72" s="1">
        <f t="shared" si="25"/>
        <v>8.5365853658536592E-2</v>
      </c>
      <c r="S72" s="1">
        <f t="shared" si="26"/>
        <v>0.15625</v>
      </c>
      <c r="T72" s="1">
        <f t="shared" si="27"/>
        <v>1.0856267429507325</v>
      </c>
      <c r="V72" s="1">
        <f>Sheet3!AB72^2</f>
        <v>0.19688716564611486</v>
      </c>
      <c r="W72" s="1">
        <f>Sheet3!AC72^2</f>
        <v>0.3094477803445273</v>
      </c>
      <c r="X72" s="1">
        <f t="shared" si="28"/>
        <v>8.0723737914907083</v>
      </c>
      <c r="Y72" s="1">
        <f t="shared" si="29"/>
        <v>12.687358994125619</v>
      </c>
      <c r="Z72" s="1">
        <f t="shared" si="30"/>
        <v>2590.2458999999994</v>
      </c>
      <c r="AA72" s="1">
        <f t="shared" si="31"/>
        <v>7117.6906999999992</v>
      </c>
      <c r="AB72" s="1">
        <f t="shared" si="32"/>
        <v>0.73318265181089048</v>
      </c>
      <c r="AC72" s="1">
        <f t="shared" si="33"/>
        <v>0.26681734818910952</v>
      </c>
      <c r="AD72" s="1">
        <f>ABS(AB72 - Sheet3!AB72)</f>
        <v>0.28946295916009673</v>
      </c>
      <c r="AF72" s="15">
        <f t="shared" si="34"/>
        <v>1</v>
      </c>
      <c r="AG72" s="15">
        <f t="shared" si="35"/>
        <v>1</v>
      </c>
    </row>
    <row r="73" spans="1:33" x14ac:dyDescent="0.3">
      <c r="A73" s="2">
        <v>202210</v>
      </c>
      <c r="B73" s="6">
        <v>44857</v>
      </c>
      <c r="C73" s="3">
        <v>52</v>
      </c>
      <c r="D73" s="3">
        <v>66</v>
      </c>
      <c r="E73" s="3">
        <v>51</v>
      </c>
      <c r="F73" s="3">
        <v>11</v>
      </c>
      <c r="G73" s="3">
        <v>45</v>
      </c>
      <c r="H73" s="3">
        <v>21</v>
      </c>
      <c r="I73" s="3">
        <v>66</v>
      </c>
      <c r="J73" s="3" t="s">
        <v>19</v>
      </c>
      <c r="K73" s="3" t="s">
        <v>20</v>
      </c>
      <c r="L73" s="3" t="s">
        <v>21</v>
      </c>
      <c r="N73" s="1">
        <f t="shared" si="21"/>
        <v>0.43103448275862066</v>
      </c>
      <c r="O73" s="1">
        <f t="shared" si="22"/>
        <v>0.21904761904761905</v>
      </c>
      <c r="P73" s="1">
        <f t="shared" si="23"/>
        <v>0.5</v>
      </c>
      <c r="Q73" s="1">
        <f t="shared" si="24"/>
        <v>0.10526315789473684</v>
      </c>
      <c r="R73" s="1">
        <f t="shared" si="25"/>
        <v>0.17073170731707318</v>
      </c>
      <c r="S73" s="1">
        <f t="shared" si="26"/>
        <v>0.25</v>
      </c>
      <c r="T73" s="1">
        <f t="shared" si="27"/>
        <v>1.6760769670180495</v>
      </c>
      <c r="V73" s="1">
        <f>Sheet3!AB73^2</f>
        <v>0.19712552779603359</v>
      </c>
      <c r="W73" s="1">
        <f>Sheet3!AC73^2</f>
        <v>0.30914911415424418</v>
      </c>
      <c r="X73" s="1">
        <f t="shared" si="28"/>
        <v>10.250527445393747</v>
      </c>
      <c r="Y73" s="1">
        <f t="shared" si="29"/>
        <v>16.075753936020696</v>
      </c>
      <c r="Z73" s="1">
        <f t="shared" si="30"/>
        <v>1076.1458999999998</v>
      </c>
      <c r="AA73" s="1">
        <f t="shared" si="31"/>
        <v>4243.0506999999998</v>
      </c>
      <c r="AB73" s="1">
        <f t="shared" si="32"/>
        <v>0.79768638369185307</v>
      </c>
      <c r="AC73" s="1">
        <f t="shared" si="33"/>
        <v>0.20231361630814695</v>
      </c>
      <c r="AD73" s="1">
        <f>ABS(AB73 - Sheet3!AB73)</f>
        <v>0.35369817687095834</v>
      </c>
      <c r="AF73" s="15">
        <f t="shared" si="34"/>
        <v>1</v>
      </c>
      <c r="AG73" s="15">
        <f t="shared" si="35"/>
        <v>1</v>
      </c>
    </row>
    <row r="74" spans="1:33" x14ac:dyDescent="0.3">
      <c r="A74" s="2">
        <v>202210</v>
      </c>
      <c r="B74" s="6">
        <v>44856</v>
      </c>
      <c r="C74" s="3">
        <v>58</v>
      </c>
      <c r="D74" s="3">
        <v>82</v>
      </c>
      <c r="E74" s="3">
        <v>51</v>
      </c>
      <c r="F74" s="3">
        <v>19</v>
      </c>
      <c r="G74" s="3">
        <v>39</v>
      </c>
      <c r="H74" s="3">
        <v>41</v>
      </c>
      <c r="I74" s="3">
        <v>82</v>
      </c>
      <c r="J74" s="3" t="s">
        <v>19</v>
      </c>
      <c r="K74" s="3" t="s">
        <v>20</v>
      </c>
      <c r="L74" s="3" t="s">
        <v>21</v>
      </c>
      <c r="N74" s="1">
        <f t="shared" si="21"/>
        <v>0.53448275862068961</v>
      </c>
      <c r="O74" s="1">
        <f t="shared" si="22"/>
        <v>0.37142857142857144</v>
      </c>
      <c r="P74" s="1">
        <f t="shared" si="23"/>
        <v>0.5</v>
      </c>
      <c r="Q74" s="1">
        <f t="shared" si="24"/>
        <v>0.52631578947368418</v>
      </c>
      <c r="R74" s="1">
        <f t="shared" si="25"/>
        <v>0.13414634146341464</v>
      </c>
      <c r="S74" s="1">
        <f t="shared" si="26"/>
        <v>0.875</v>
      </c>
      <c r="T74" s="1">
        <f t="shared" si="27"/>
        <v>2.9413734609863598</v>
      </c>
      <c r="V74" s="1">
        <f>Sheet3!AB74^2</f>
        <v>0.10366536205369804</v>
      </c>
      <c r="W74" s="1">
        <f>Sheet3!AC74^2</f>
        <v>0.459723246475914</v>
      </c>
      <c r="X74" s="1">
        <f t="shared" si="28"/>
        <v>6.0125909991144866</v>
      </c>
      <c r="Y74" s="1">
        <f t="shared" si="29"/>
        <v>26.663948295603014</v>
      </c>
      <c r="Z74" s="1">
        <f t="shared" si="30"/>
        <v>677.3458999999998</v>
      </c>
      <c r="AA74" s="1">
        <f t="shared" si="31"/>
        <v>3654.4106999999995</v>
      </c>
      <c r="AB74" s="1">
        <f t="shared" si="32"/>
        <v>0.84363251157740482</v>
      </c>
      <c r="AC74" s="1">
        <f t="shared" si="33"/>
        <v>0.1563674884225951</v>
      </c>
      <c r="AD74" s="1">
        <f>ABS(AB74 - Sheet3!AB74)</f>
        <v>0.52166145378851281</v>
      </c>
      <c r="AF74" s="15">
        <f t="shared" si="34"/>
        <v>1</v>
      </c>
      <c r="AG74" s="15">
        <f t="shared" si="35"/>
        <v>1</v>
      </c>
    </row>
    <row r="75" spans="1:33" x14ac:dyDescent="0.3">
      <c r="A75" s="2">
        <v>202210</v>
      </c>
      <c r="B75" s="6">
        <v>44855</v>
      </c>
      <c r="C75" s="3">
        <v>52</v>
      </c>
      <c r="D75" s="3">
        <v>67</v>
      </c>
      <c r="E75" s="3">
        <v>50</v>
      </c>
      <c r="F75" s="3">
        <v>16</v>
      </c>
      <c r="G75" s="3">
        <v>31</v>
      </c>
      <c r="H75" s="3">
        <v>27</v>
      </c>
      <c r="I75" s="3">
        <v>67</v>
      </c>
      <c r="J75" s="3" t="s">
        <v>19</v>
      </c>
      <c r="K75" s="3" t="s">
        <v>20</v>
      </c>
      <c r="L75" s="3" t="s">
        <v>21</v>
      </c>
      <c r="N75" s="1">
        <f t="shared" si="21"/>
        <v>0.43103448275862066</v>
      </c>
      <c r="O75" s="1">
        <f t="shared" si="22"/>
        <v>0.22857142857142856</v>
      </c>
      <c r="P75" s="1">
        <f t="shared" si="23"/>
        <v>0.41666666666666669</v>
      </c>
      <c r="Q75" s="1">
        <f t="shared" si="24"/>
        <v>0.36842105263157893</v>
      </c>
      <c r="R75" s="1">
        <f t="shared" si="25"/>
        <v>8.5365853658536592E-2</v>
      </c>
      <c r="S75" s="1">
        <f t="shared" si="26"/>
        <v>0.4375</v>
      </c>
      <c r="T75" s="1">
        <f t="shared" si="27"/>
        <v>1.9675594842868316</v>
      </c>
      <c r="V75" s="1">
        <f>Sheet3!AB75^2</f>
        <v>0.15560408933313719</v>
      </c>
      <c r="W75" s="1">
        <f>Sheet3!AC75^2</f>
        <v>0.36667040559758468</v>
      </c>
      <c r="X75" s="1">
        <f t="shared" si="28"/>
        <v>8.0914126453231336</v>
      </c>
      <c r="Y75" s="1">
        <f t="shared" si="29"/>
        <v>19.066861091074404</v>
      </c>
      <c r="Z75" s="1">
        <f t="shared" si="30"/>
        <v>1477.9858999999997</v>
      </c>
      <c r="AA75" s="1">
        <f t="shared" si="31"/>
        <v>5527.6706999999997</v>
      </c>
      <c r="AB75" s="1">
        <f t="shared" si="32"/>
        <v>0.78902963927749481</v>
      </c>
      <c r="AC75" s="1">
        <f t="shared" si="33"/>
        <v>0.21097036072250527</v>
      </c>
      <c r="AD75" s="1">
        <f>ABS(AB75 - Sheet3!AB75)</f>
        <v>0.39456279740971856</v>
      </c>
      <c r="AF75" s="15">
        <f t="shared" si="34"/>
        <v>1</v>
      </c>
      <c r="AG75" s="15">
        <f t="shared" si="35"/>
        <v>1</v>
      </c>
    </row>
    <row r="76" spans="1:33" x14ac:dyDescent="0.3">
      <c r="A76" s="2">
        <v>202210</v>
      </c>
      <c r="B76" s="6">
        <v>44854</v>
      </c>
      <c r="C76" s="3">
        <v>67</v>
      </c>
      <c r="D76" s="3">
        <v>88</v>
      </c>
      <c r="E76" s="3">
        <v>51</v>
      </c>
      <c r="F76" s="3">
        <v>28</v>
      </c>
      <c r="G76" s="3">
        <v>47</v>
      </c>
      <c r="H76" s="3">
        <v>45</v>
      </c>
      <c r="I76" s="3">
        <v>88</v>
      </c>
      <c r="J76" s="3" t="s">
        <v>19</v>
      </c>
      <c r="K76" s="3" t="s">
        <v>20</v>
      </c>
      <c r="L76" s="3" t="s">
        <v>21</v>
      </c>
      <c r="N76" s="1">
        <f t="shared" si="21"/>
        <v>0.68965517241379315</v>
      </c>
      <c r="O76" s="1">
        <f t="shared" si="22"/>
        <v>0.42857142857142855</v>
      </c>
      <c r="P76" s="1">
        <f t="shared" si="23"/>
        <v>0.5</v>
      </c>
      <c r="Q76" s="1">
        <f t="shared" si="24"/>
        <v>1</v>
      </c>
      <c r="R76" s="1">
        <f t="shared" si="25"/>
        <v>0.18292682926829268</v>
      </c>
      <c r="S76" s="1">
        <f t="shared" si="26"/>
        <v>1</v>
      </c>
      <c r="T76" s="1">
        <f t="shared" si="27"/>
        <v>3.8011534302535144</v>
      </c>
      <c r="V76" s="1">
        <f>Sheet3!AB76^2</f>
        <v>0.14598762758529477</v>
      </c>
      <c r="W76" s="1">
        <f>Sheet3!AC76^2</f>
        <v>0.38182108137878945</v>
      </c>
      <c r="X76" s="1">
        <f t="shared" si="28"/>
        <v>9.78117104821475</v>
      </c>
      <c r="Y76" s="1">
        <f t="shared" si="29"/>
        <v>25.582012452378894</v>
      </c>
      <c r="Z76" s="1">
        <f t="shared" si="30"/>
        <v>607.46589999999992</v>
      </c>
      <c r="AA76" s="1">
        <f t="shared" si="31"/>
        <v>2722.9106999999995</v>
      </c>
      <c r="AB76" s="1">
        <f t="shared" si="32"/>
        <v>0.81759843616484695</v>
      </c>
      <c r="AC76" s="1">
        <f t="shared" si="33"/>
        <v>0.18240156383515307</v>
      </c>
      <c r="AD76" s="1">
        <f>ABS(AB76 - Sheet3!AB76)</f>
        <v>0.43551516306159427</v>
      </c>
      <c r="AF76" s="15">
        <f t="shared" si="34"/>
        <v>1</v>
      </c>
      <c r="AG76" s="15">
        <f t="shared" si="35"/>
        <v>1</v>
      </c>
    </row>
    <row r="77" spans="1:33" x14ac:dyDescent="0.3">
      <c r="A77" s="2">
        <v>202210</v>
      </c>
      <c r="B77" s="6">
        <v>44853</v>
      </c>
      <c r="C77" s="3">
        <v>64</v>
      </c>
      <c r="D77" s="3">
        <v>92</v>
      </c>
      <c r="E77" s="3">
        <v>51</v>
      </c>
      <c r="F77" s="3">
        <v>22</v>
      </c>
      <c r="G77" s="3">
        <v>42</v>
      </c>
      <c r="H77" s="3">
        <v>44</v>
      </c>
      <c r="I77" s="3">
        <v>92</v>
      </c>
      <c r="J77" s="3" t="s">
        <v>19</v>
      </c>
      <c r="K77" s="3" t="s">
        <v>20</v>
      </c>
      <c r="L77" s="3" t="s">
        <v>21</v>
      </c>
      <c r="N77" s="1">
        <f t="shared" si="21"/>
        <v>0.63793103448275867</v>
      </c>
      <c r="O77" s="1">
        <f t="shared" si="22"/>
        <v>0.46666666666666667</v>
      </c>
      <c r="P77" s="1">
        <f t="shared" si="23"/>
        <v>0.5</v>
      </c>
      <c r="Q77" s="1">
        <f t="shared" si="24"/>
        <v>0.68421052631578949</v>
      </c>
      <c r="R77" s="1">
        <f t="shared" si="25"/>
        <v>0.1524390243902439</v>
      </c>
      <c r="S77" s="1">
        <f t="shared" si="26"/>
        <v>0.96875</v>
      </c>
      <c r="T77" s="1">
        <f t="shared" si="27"/>
        <v>3.4099972518554584</v>
      </c>
      <c r="V77" s="1">
        <f>Sheet3!AB77^2</f>
        <v>9.5965580795483313E-2</v>
      </c>
      <c r="W77" s="1">
        <f>Sheet3!AC77^2</f>
        <v>0.47639934286612901</v>
      </c>
      <c r="X77" s="1">
        <f t="shared" si="28"/>
        <v>6.141797170910932</v>
      </c>
      <c r="Y77" s="1">
        <f t="shared" si="29"/>
        <v>30.489557943432256</v>
      </c>
      <c r="Z77" s="1">
        <f t="shared" si="30"/>
        <v>544.84589999999992</v>
      </c>
      <c r="AA77" s="1">
        <f t="shared" si="31"/>
        <v>2920.2306999999996</v>
      </c>
      <c r="AB77" s="1">
        <f t="shared" si="32"/>
        <v>0.84276079207022436</v>
      </c>
      <c r="AC77" s="1">
        <f t="shared" si="33"/>
        <v>0.15723920792977564</v>
      </c>
      <c r="AD77" s="1">
        <f>ABS(AB77 - Sheet3!AB77)</f>
        <v>0.53297767310554722</v>
      </c>
      <c r="AF77" s="15">
        <f t="shared" si="34"/>
        <v>1</v>
      </c>
      <c r="AG77" s="15">
        <f t="shared" si="35"/>
        <v>1</v>
      </c>
    </row>
    <row r="78" spans="1:33" x14ac:dyDescent="0.3">
      <c r="A78" s="2">
        <v>202210</v>
      </c>
      <c r="B78" s="6">
        <v>44852</v>
      </c>
      <c r="C78" s="3">
        <v>59</v>
      </c>
      <c r="D78" s="3">
        <v>79</v>
      </c>
      <c r="E78" s="3">
        <v>50</v>
      </c>
      <c r="F78" s="3">
        <v>16</v>
      </c>
      <c r="G78" s="3">
        <v>45</v>
      </c>
      <c r="H78" s="3">
        <v>35</v>
      </c>
      <c r="I78" s="3">
        <v>79</v>
      </c>
      <c r="J78" s="3" t="s">
        <v>19</v>
      </c>
      <c r="K78" s="3" t="s">
        <v>20</v>
      </c>
      <c r="L78" s="3" t="s">
        <v>26</v>
      </c>
      <c r="N78" s="1">
        <f t="shared" si="21"/>
        <v>0.55172413793103448</v>
      </c>
      <c r="O78" s="1">
        <f t="shared" si="22"/>
        <v>0.34285714285714286</v>
      </c>
      <c r="P78" s="1">
        <f t="shared" si="23"/>
        <v>0.41666666666666669</v>
      </c>
      <c r="Q78" s="1">
        <f t="shared" si="24"/>
        <v>0.36842105263157893</v>
      </c>
      <c r="R78" s="1">
        <f t="shared" si="25"/>
        <v>0.17073170731707318</v>
      </c>
      <c r="S78" s="1">
        <f t="shared" si="26"/>
        <v>0.6875</v>
      </c>
      <c r="T78" s="1">
        <f t="shared" si="27"/>
        <v>2.5379007074034963</v>
      </c>
      <c r="V78" s="1">
        <f>Sheet3!AB78^2</f>
        <v>0.10863728849941183</v>
      </c>
      <c r="W78" s="1">
        <f>Sheet3!AC78^2</f>
        <v>0.44943386466300056</v>
      </c>
      <c r="X78" s="1">
        <f t="shared" si="28"/>
        <v>6.4096000214652982</v>
      </c>
      <c r="Y78" s="1">
        <f t="shared" si="29"/>
        <v>26.516598015117033</v>
      </c>
      <c r="Z78" s="1">
        <f t="shared" si="30"/>
        <v>429.30589999999984</v>
      </c>
      <c r="AA78" s="1">
        <f t="shared" si="31"/>
        <v>3090.1706999999997</v>
      </c>
      <c r="AB78" s="1">
        <f t="shared" si="32"/>
        <v>0.87801995899049301</v>
      </c>
      <c r="AC78" s="1">
        <f t="shared" si="33"/>
        <v>0.12198004100950689</v>
      </c>
      <c r="AD78" s="1">
        <f>ABS(AB78 - Sheet3!AB78)</f>
        <v>0.54841824707228737</v>
      </c>
      <c r="AF78" s="15">
        <f t="shared" si="34"/>
        <v>1</v>
      </c>
      <c r="AG78" s="15">
        <f t="shared" si="35"/>
        <v>1</v>
      </c>
    </row>
    <row r="79" spans="1:33" x14ac:dyDescent="0.3">
      <c r="A79" s="2">
        <v>202210</v>
      </c>
      <c r="B79" s="6">
        <v>44851</v>
      </c>
      <c r="C79" s="3">
        <v>56</v>
      </c>
      <c r="D79" s="3">
        <v>85</v>
      </c>
      <c r="E79" s="3">
        <v>51</v>
      </c>
      <c r="F79" s="3">
        <v>13</v>
      </c>
      <c r="G79" s="3">
        <v>54</v>
      </c>
      <c r="H79" s="3">
        <v>25</v>
      </c>
      <c r="I79" s="3">
        <v>85</v>
      </c>
      <c r="J79" s="3" t="s">
        <v>19</v>
      </c>
      <c r="K79" s="3" t="s">
        <v>20</v>
      </c>
      <c r="L79" s="3" t="s">
        <v>21</v>
      </c>
      <c r="N79" s="1">
        <f t="shared" si="21"/>
        <v>0.5</v>
      </c>
      <c r="O79" s="1">
        <f t="shared" si="22"/>
        <v>0.4</v>
      </c>
      <c r="P79" s="1">
        <f t="shared" si="23"/>
        <v>0.5</v>
      </c>
      <c r="Q79" s="1">
        <f t="shared" si="24"/>
        <v>0.21052631578947367</v>
      </c>
      <c r="R79" s="1">
        <f t="shared" si="25"/>
        <v>0.22560975609756098</v>
      </c>
      <c r="S79" s="1">
        <f t="shared" si="26"/>
        <v>0.375</v>
      </c>
      <c r="T79" s="1">
        <f t="shared" si="27"/>
        <v>2.2111360718870348</v>
      </c>
      <c r="V79" s="1">
        <f>Sheet3!AB79^2</f>
        <v>0.17014052581677588</v>
      </c>
      <c r="W79" s="1">
        <f>Sheet3!AC79^2</f>
        <v>0.34517864592952702</v>
      </c>
      <c r="X79" s="1">
        <f t="shared" si="28"/>
        <v>9.5278694457394497</v>
      </c>
      <c r="Y79" s="1">
        <f t="shared" si="29"/>
        <v>19.330004172053513</v>
      </c>
      <c r="Z79" s="1">
        <f t="shared" si="30"/>
        <v>144.68589999999992</v>
      </c>
      <c r="AA79" s="1">
        <f t="shared" si="31"/>
        <v>2066.6506999999992</v>
      </c>
      <c r="AB79" s="1">
        <f t="shared" si="32"/>
        <v>0.93457083828848131</v>
      </c>
      <c r="AC79" s="1">
        <f t="shared" si="33"/>
        <v>6.5429161711518719E-2</v>
      </c>
      <c r="AD79" s="1">
        <f>ABS(AB79 - Sheet3!AB79)</f>
        <v>0.52208989834485697</v>
      </c>
      <c r="AF79" s="15">
        <f t="shared" si="34"/>
        <v>1</v>
      </c>
      <c r="AG79" s="15">
        <f t="shared" si="35"/>
        <v>1</v>
      </c>
    </row>
    <row r="80" spans="1:33" x14ac:dyDescent="0.3">
      <c r="A80" s="2">
        <v>202210</v>
      </c>
      <c r="B80" s="6">
        <v>44850</v>
      </c>
      <c r="C80" s="3">
        <v>62</v>
      </c>
      <c r="D80" s="3">
        <v>93</v>
      </c>
      <c r="E80" s="3">
        <v>51</v>
      </c>
      <c r="F80" s="3">
        <v>19</v>
      </c>
      <c r="G80" s="3">
        <v>52</v>
      </c>
      <c r="H80" s="3">
        <v>36</v>
      </c>
      <c r="I80" s="3">
        <v>93</v>
      </c>
      <c r="J80" s="3" t="s">
        <v>19</v>
      </c>
      <c r="K80" s="3" t="s">
        <v>20</v>
      </c>
      <c r="L80" s="3" t="s">
        <v>21</v>
      </c>
      <c r="N80" s="1">
        <f t="shared" si="21"/>
        <v>0.60344827586206895</v>
      </c>
      <c r="O80" s="1">
        <f t="shared" si="22"/>
        <v>0.47619047619047616</v>
      </c>
      <c r="P80" s="1">
        <f t="shared" si="23"/>
        <v>0.5</v>
      </c>
      <c r="Q80" s="1">
        <f t="shared" si="24"/>
        <v>0.52631578947368418</v>
      </c>
      <c r="R80" s="1">
        <f t="shared" si="25"/>
        <v>0.21341463414634146</v>
      </c>
      <c r="S80" s="1">
        <f t="shared" si="26"/>
        <v>0.71875</v>
      </c>
      <c r="T80" s="1">
        <f t="shared" si="27"/>
        <v>3.0381191756725707</v>
      </c>
      <c r="V80" s="1">
        <f>Sheet3!AB80^2</f>
        <v>5.2379298757503891E-2</v>
      </c>
      <c r="W80" s="1">
        <f>Sheet3!AC80^2</f>
        <v>0.59464881579835505</v>
      </c>
      <c r="X80" s="1">
        <f t="shared" si="28"/>
        <v>3.2475165229652414</v>
      </c>
      <c r="Y80" s="1">
        <f t="shared" si="29"/>
        <v>36.868226579498014</v>
      </c>
      <c r="Z80" s="1">
        <f t="shared" si="30"/>
        <v>115.90589999999995</v>
      </c>
      <c r="AA80" s="1">
        <f t="shared" si="31"/>
        <v>1829.8106999999995</v>
      </c>
      <c r="AB80" s="1">
        <f t="shared" si="32"/>
        <v>0.94043022503893936</v>
      </c>
      <c r="AC80" s="1">
        <f t="shared" si="33"/>
        <v>5.9569774961060605E-2</v>
      </c>
      <c r="AD80" s="1">
        <f>ABS(AB80 - Sheet3!AB80)</f>
        <v>0.71156498355936493</v>
      </c>
      <c r="AF80" s="15">
        <f t="shared" si="34"/>
        <v>1</v>
      </c>
      <c r="AG80" s="15">
        <f t="shared" si="35"/>
        <v>1</v>
      </c>
    </row>
    <row r="81" spans="1:33" x14ac:dyDescent="0.3">
      <c r="A81" s="2">
        <v>202210</v>
      </c>
      <c r="B81" s="6">
        <v>44849</v>
      </c>
      <c r="C81" s="3">
        <v>55</v>
      </c>
      <c r="D81" s="3">
        <v>78</v>
      </c>
      <c r="E81" s="3">
        <v>51</v>
      </c>
      <c r="F81" s="3">
        <v>13</v>
      </c>
      <c r="G81" s="3">
        <v>58</v>
      </c>
      <c r="H81" s="3">
        <v>27</v>
      </c>
      <c r="I81" s="3">
        <v>78</v>
      </c>
      <c r="J81" s="3" t="s">
        <v>19</v>
      </c>
      <c r="K81" s="3" t="s">
        <v>20</v>
      </c>
      <c r="L81" s="3" t="s">
        <v>21</v>
      </c>
      <c r="N81" s="1">
        <f t="shared" si="21"/>
        <v>0.48275862068965519</v>
      </c>
      <c r="O81" s="1">
        <f t="shared" si="22"/>
        <v>0.33333333333333331</v>
      </c>
      <c r="P81" s="1">
        <f t="shared" si="23"/>
        <v>0.5</v>
      </c>
      <c r="Q81" s="1">
        <f t="shared" si="24"/>
        <v>0.21052631578947367</v>
      </c>
      <c r="R81" s="1">
        <f t="shared" si="25"/>
        <v>0.25</v>
      </c>
      <c r="S81" s="1">
        <f t="shared" si="26"/>
        <v>0.4375</v>
      </c>
      <c r="T81" s="1">
        <f t="shared" si="27"/>
        <v>2.2141182698124622</v>
      </c>
      <c r="V81" s="1">
        <f>Sheet3!AB81^2</f>
        <v>0.30044619401132061</v>
      </c>
      <c r="W81" s="1">
        <f>Sheet3!AC81^2</f>
        <v>0.20418674659694031</v>
      </c>
      <c r="X81" s="1">
        <f t="shared" si="28"/>
        <v>16.524540670622635</v>
      </c>
      <c r="Y81" s="1">
        <f t="shared" si="29"/>
        <v>11.230271062831717</v>
      </c>
      <c r="Z81" s="1">
        <f t="shared" si="30"/>
        <v>321.94589999999988</v>
      </c>
      <c r="AA81" s="1">
        <f t="shared" si="31"/>
        <v>2217.3706999999995</v>
      </c>
      <c r="AB81" s="1">
        <f t="shared" si="32"/>
        <v>0.8732155336597256</v>
      </c>
      <c r="AC81" s="1">
        <f t="shared" si="33"/>
        <v>0.12678446634027438</v>
      </c>
      <c r="AD81" s="1">
        <f>ABS(AB81 - Sheet3!AB81)</f>
        <v>0.32508580995253544</v>
      </c>
      <c r="AF81" s="15">
        <f t="shared" si="34"/>
        <v>1</v>
      </c>
      <c r="AG81" s="15">
        <f t="shared" si="35"/>
        <v>1</v>
      </c>
    </row>
    <row r="82" spans="1:33" x14ac:dyDescent="0.3">
      <c r="A82" s="2">
        <v>202210</v>
      </c>
      <c r="B82" s="6">
        <v>44848</v>
      </c>
      <c r="C82" s="3">
        <v>67</v>
      </c>
      <c r="D82" s="3">
        <v>94</v>
      </c>
      <c r="E82" s="3">
        <v>50</v>
      </c>
      <c r="F82" s="3">
        <v>28</v>
      </c>
      <c r="G82" s="3">
        <v>47</v>
      </c>
      <c r="H82" s="3">
        <v>45</v>
      </c>
      <c r="I82" s="3">
        <v>94</v>
      </c>
      <c r="J82" s="3" t="s">
        <v>19</v>
      </c>
      <c r="K82" s="3" t="s">
        <v>20</v>
      </c>
      <c r="L82" s="3" t="s">
        <v>21</v>
      </c>
      <c r="N82" s="1">
        <f t="shared" si="21"/>
        <v>0.68965517241379315</v>
      </c>
      <c r="O82" s="1">
        <f t="shared" si="22"/>
        <v>0.48571428571428571</v>
      </c>
      <c r="P82" s="1">
        <f t="shared" si="23"/>
        <v>0.41666666666666669</v>
      </c>
      <c r="Q82" s="1">
        <f t="shared" si="24"/>
        <v>1</v>
      </c>
      <c r="R82" s="1">
        <f t="shared" si="25"/>
        <v>0.18292682926829268</v>
      </c>
      <c r="S82" s="1">
        <f t="shared" si="26"/>
        <v>1</v>
      </c>
      <c r="T82" s="1">
        <f t="shared" si="27"/>
        <v>3.7749629540630383</v>
      </c>
      <c r="V82" s="1">
        <f>Sheet3!AB82^2</f>
        <v>0.13793044406398486</v>
      </c>
      <c r="W82" s="1">
        <f>Sheet3!AC82^2</f>
        <v>0.39515068110867962</v>
      </c>
      <c r="X82" s="1">
        <f t="shared" si="28"/>
        <v>9.2413397522869847</v>
      </c>
      <c r="Y82" s="1">
        <f t="shared" si="29"/>
        <v>26.475095634281534</v>
      </c>
      <c r="Z82" s="1">
        <f t="shared" si="30"/>
        <v>576.08589999999992</v>
      </c>
      <c r="AA82" s="1">
        <f t="shared" si="31"/>
        <v>2502.4306999999994</v>
      </c>
      <c r="AB82" s="1">
        <f t="shared" si="32"/>
        <v>0.81286899671094837</v>
      </c>
      <c r="AC82" s="1">
        <f t="shared" si="33"/>
        <v>0.18713100328905163</v>
      </c>
      <c r="AD82" s="1">
        <f>ABS(AB82 - Sheet3!AB82)</f>
        <v>0.44147911523329575</v>
      </c>
      <c r="AF82" s="15">
        <f t="shared" si="34"/>
        <v>1</v>
      </c>
      <c r="AG82" s="15">
        <f t="shared" si="35"/>
        <v>1</v>
      </c>
    </row>
    <row r="83" spans="1:33" x14ac:dyDescent="0.3">
      <c r="A83" s="2">
        <v>202210</v>
      </c>
      <c r="B83" s="6">
        <v>44847</v>
      </c>
      <c r="C83" s="3">
        <v>63</v>
      </c>
      <c r="D83" s="3">
        <v>91</v>
      </c>
      <c r="E83" s="3">
        <v>52</v>
      </c>
      <c r="F83" s="3">
        <v>17</v>
      </c>
      <c r="G83" s="3">
        <v>54</v>
      </c>
      <c r="H83" s="3">
        <v>36</v>
      </c>
      <c r="I83" s="3">
        <v>91</v>
      </c>
      <c r="J83" s="3" t="s">
        <v>19</v>
      </c>
      <c r="K83" s="3" t="s">
        <v>20</v>
      </c>
      <c r="L83" s="3" t="s">
        <v>21</v>
      </c>
      <c r="N83" s="1">
        <f t="shared" si="21"/>
        <v>0.62068965517241381</v>
      </c>
      <c r="O83" s="1">
        <f t="shared" si="22"/>
        <v>0.45714285714285713</v>
      </c>
      <c r="P83" s="1">
        <f t="shared" si="23"/>
        <v>0.58333333333333337</v>
      </c>
      <c r="Q83" s="1">
        <f t="shared" si="24"/>
        <v>0.42105263157894735</v>
      </c>
      <c r="R83" s="1">
        <f t="shared" si="25"/>
        <v>0.22560975609756098</v>
      </c>
      <c r="S83" s="1">
        <f t="shared" si="26"/>
        <v>0.71875</v>
      </c>
      <c r="T83" s="1">
        <f t="shared" si="27"/>
        <v>3.0265782333251128</v>
      </c>
      <c r="V83" s="1">
        <f>Sheet3!AB83^2</f>
        <v>0.10839337293848042</v>
      </c>
      <c r="W83" s="1">
        <f>Sheet3!AC83^2</f>
        <v>0.44993039618586017</v>
      </c>
      <c r="X83" s="1">
        <f t="shared" si="28"/>
        <v>6.8287824951242664</v>
      </c>
      <c r="Y83" s="1">
        <f t="shared" si="29"/>
        <v>28.345614959709192</v>
      </c>
      <c r="Z83" s="1">
        <f t="shared" si="30"/>
        <v>103.00589999999997</v>
      </c>
      <c r="AA83" s="1">
        <f t="shared" si="31"/>
        <v>1739.3106999999995</v>
      </c>
      <c r="AB83" s="1">
        <f t="shared" si="32"/>
        <v>0.94408892586648796</v>
      </c>
      <c r="AC83" s="1">
        <f t="shared" si="33"/>
        <v>5.5911074133512123E-2</v>
      </c>
      <c r="AD83" s="1">
        <f>ABS(AB83 - Sheet3!AB83)</f>
        <v>0.61485743749017785</v>
      </c>
      <c r="AF83" s="15">
        <f t="shared" si="34"/>
        <v>1</v>
      </c>
      <c r="AG83" s="15">
        <f t="shared" si="35"/>
        <v>1</v>
      </c>
    </row>
    <row r="84" spans="1:33" x14ac:dyDescent="0.3">
      <c r="A84" s="2">
        <v>202210</v>
      </c>
      <c r="B84" s="6">
        <v>44846</v>
      </c>
      <c r="C84" s="3">
        <v>70</v>
      </c>
      <c r="D84" s="3">
        <v>97</v>
      </c>
      <c r="E84" s="3">
        <v>54</v>
      </c>
      <c r="F84" s="3">
        <v>27</v>
      </c>
      <c r="G84" s="3">
        <v>44</v>
      </c>
      <c r="H84" s="3">
        <v>42</v>
      </c>
      <c r="I84" s="3">
        <v>97</v>
      </c>
      <c r="J84" s="3" t="s">
        <v>19</v>
      </c>
      <c r="K84" s="3" t="s">
        <v>20</v>
      </c>
      <c r="L84" s="3" t="s">
        <v>21</v>
      </c>
      <c r="N84" s="1">
        <f t="shared" si="21"/>
        <v>0.74137931034482762</v>
      </c>
      <c r="O84" s="1">
        <f t="shared" si="22"/>
        <v>0.51428571428571423</v>
      </c>
      <c r="P84" s="1">
        <f t="shared" si="23"/>
        <v>0.75</v>
      </c>
      <c r="Q84" s="1">
        <f t="shared" si="24"/>
        <v>0.94736842105263153</v>
      </c>
      <c r="R84" s="1">
        <f t="shared" si="25"/>
        <v>0.16463414634146342</v>
      </c>
      <c r="S84" s="1">
        <f t="shared" si="26"/>
        <v>0.90625</v>
      </c>
      <c r="T84" s="1">
        <f t="shared" si="27"/>
        <v>4.0239175920246364</v>
      </c>
      <c r="V84" s="1">
        <f>Sheet3!AB84^2</f>
        <v>0.11899822592694848</v>
      </c>
      <c r="W84" s="1">
        <f>Sheet3!AC84^2</f>
        <v>0.42907583630055446</v>
      </c>
      <c r="X84" s="1">
        <f t="shared" si="28"/>
        <v>8.3298758148863925</v>
      </c>
      <c r="Y84" s="1">
        <f t="shared" si="29"/>
        <v>30.035308541038813</v>
      </c>
      <c r="Z84" s="1">
        <f t="shared" si="30"/>
        <v>577.96589999999992</v>
      </c>
      <c r="AA84" s="1">
        <f t="shared" si="31"/>
        <v>2566.9706999999999</v>
      </c>
      <c r="AB84" s="1">
        <f t="shared" si="32"/>
        <v>0.81622335407333813</v>
      </c>
      <c r="AC84" s="1">
        <f t="shared" si="33"/>
        <v>0.1837766459266619</v>
      </c>
      <c r="AD84" s="1">
        <f>ABS(AB84 - Sheet3!AB84)</f>
        <v>0.47126215926014109</v>
      </c>
      <c r="AF84" s="15">
        <f t="shared" si="34"/>
        <v>1</v>
      </c>
      <c r="AG84" s="15">
        <f t="shared" si="35"/>
        <v>1</v>
      </c>
    </row>
    <row r="85" spans="1:33" ht="27.6" x14ac:dyDescent="0.3">
      <c r="A85" s="2">
        <v>202210</v>
      </c>
      <c r="B85" s="6">
        <v>44845</v>
      </c>
      <c r="C85" s="3">
        <v>77</v>
      </c>
      <c r="D85" s="3">
        <v>126</v>
      </c>
      <c r="E85" s="3">
        <v>51</v>
      </c>
      <c r="F85" s="3">
        <v>23</v>
      </c>
      <c r="G85" s="3">
        <v>59</v>
      </c>
      <c r="H85" s="3">
        <v>45</v>
      </c>
      <c r="I85" s="3">
        <v>126</v>
      </c>
      <c r="J85" s="3" t="s">
        <v>19</v>
      </c>
      <c r="K85" s="3" t="s">
        <v>22</v>
      </c>
      <c r="L85" s="3" t="s">
        <v>21</v>
      </c>
      <c r="N85" s="1">
        <f t="shared" si="21"/>
        <v>0.86206896551724133</v>
      </c>
      <c r="O85" s="1">
        <f t="shared" si="22"/>
        <v>0.79047619047619044</v>
      </c>
      <c r="P85" s="1">
        <f t="shared" si="23"/>
        <v>0.5</v>
      </c>
      <c r="Q85" s="1">
        <f t="shared" si="24"/>
        <v>0.73684210526315785</v>
      </c>
      <c r="R85" s="1">
        <f t="shared" si="25"/>
        <v>0.25609756097560976</v>
      </c>
      <c r="S85" s="1">
        <f t="shared" si="26"/>
        <v>1</v>
      </c>
      <c r="T85" s="1">
        <f t="shared" si="27"/>
        <v>4.1454848222321994</v>
      </c>
      <c r="V85" s="1">
        <f>Sheet3!AB85^2</f>
        <v>0.24039895518002943</v>
      </c>
      <c r="W85" s="1">
        <f>Sheet3!AC85^2</f>
        <v>0.2597890323666216</v>
      </c>
      <c r="X85" s="1">
        <f t="shared" si="28"/>
        <v>18.510719548862266</v>
      </c>
      <c r="Y85" s="1">
        <f t="shared" si="29"/>
        <v>20.003755492229864</v>
      </c>
      <c r="Z85" s="1">
        <f t="shared" si="30"/>
        <v>1631.9459000000002</v>
      </c>
      <c r="AA85" s="1">
        <f t="shared" si="31"/>
        <v>1633.8307</v>
      </c>
      <c r="AB85" s="1">
        <f t="shared" si="32"/>
        <v>0.50028856842197955</v>
      </c>
      <c r="AC85" s="1">
        <f t="shared" si="33"/>
        <v>0.49971143157802039</v>
      </c>
      <c r="AD85" s="1">
        <f>ABS(AB85 - Sheet3!AB85)</f>
        <v>9.9836070152756196E-3</v>
      </c>
      <c r="AF85" s="15">
        <f t="shared" si="34"/>
        <v>1</v>
      </c>
      <c r="AG85" s="15">
        <f t="shared" si="35"/>
        <v>0</v>
      </c>
    </row>
    <row r="86" spans="1:33" x14ac:dyDescent="0.3">
      <c r="A86" s="2">
        <v>202210</v>
      </c>
      <c r="B86" s="6">
        <v>44844</v>
      </c>
      <c r="C86" s="3">
        <v>54</v>
      </c>
      <c r="D86" s="3">
        <v>74</v>
      </c>
      <c r="E86" s="3">
        <v>50</v>
      </c>
      <c r="F86" s="3">
        <v>14</v>
      </c>
      <c r="G86" s="3">
        <v>38</v>
      </c>
      <c r="H86" s="3">
        <v>25</v>
      </c>
      <c r="I86" s="3">
        <v>74</v>
      </c>
      <c r="J86" s="3" t="s">
        <v>19</v>
      </c>
      <c r="K86" s="3" t="s">
        <v>20</v>
      </c>
      <c r="L86" s="3" t="s">
        <v>21</v>
      </c>
      <c r="N86" s="1">
        <f t="shared" si="21"/>
        <v>0.46551724137931033</v>
      </c>
      <c r="O86" s="1">
        <f t="shared" si="22"/>
        <v>0.29523809523809524</v>
      </c>
      <c r="P86" s="1">
        <f t="shared" si="23"/>
        <v>0.41666666666666669</v>
      </c>
      <c r="Q86" s="1">
        <f t="shared" si="24"/>
        <v>0.26315789473684209</v>
      </c>
      <c r="R86" s="1">
        <f t="shared" si="25"/>
        <v>0.12804878048780488</v>
      </c>
      <c r="S86" s="1">
        <f t="shared" si="26"/>
        <v>0.375</v>
      </c>
      <c r="T86" s="1">
        <f t="shared" si="27"/>
        <v>1.9436286785087193</v>
      </c>
      <c r="V86" s="1">
        <f>Sheet3!AB86^2</f>
        <v>0.13238037569673725</v>
      </c>
      <c r="W86" s="1">
        <f>Sheet3!AC86^2</f>
        <v>0.40469809421191988</v>
      </c>
      <c r="X86" s="1">
        <f t="shared" si="28"/>
        <v>7.1485402876238116</v>
      </c>
      <c r="Y86" s="1">
        <f t="shared" si="29"/>
        <v>21.853697087443674</v>
      </c>
      <c r="Z86" s="1">
        <f t="shared" si="30"/>
        <v>815.2058999999997</v>
      </c>
      <c r="AA86" s="1">
        <f t="shared" si="31"/>
        <v>4158.7106999999996</v>
      </c>
      <c r="AB86" s="1">
        <f t="shared" si="32"/>
        <v>0.83610382610757883</v>
      </c>
      <c r="AC86" s="1">
        <f t="shared" si="33"/>
        <v>0.16389617389242106</v>
      </c>
      <c r="AD86" s="1">
        <f>ABS(AB86 - Sheet3!AB86)</f>
        <v>0.47226268536517013</v>
      </c>
      <c r="AF86" s="15">
        <f t="shared" si="34"/>
        <v>1</v>
      </c>
      <c r="AG86" s="15">
        <f t="shared" si="35"/>
        <v>1</v>
      </c>
    </row>
    <row r="87" spans="1:33" x14ac:dyDescent="0.3">
      <c r="A87" s="2">
        <v>202210</v>
      </c>
      <c r="B87" s="6">
        <v>44843</v>
      </c>
      <c r="C87" s="3">
        <v>58</v>
      </c>
      <c r="D87" s="3">
        <v>95</v>
      </c>
      <c r="E87" s="3">
        <v>50</v>
      </c>
      <c r="F87" s="3">
        <v>24</v>
      </c>
      <c r="G87" s="3">
        <v>39</v>
      </c>
      <c r="H87" s="3">
        <v>35</v>
      </c>
      <c r="I87" s="3">
        <v>95</v>
      </c>
      <c r="J87" s="3" t="s">
        <v>19</v>
      </c>
      <c r="K87" s="3" t="s">
        <v>20</v>
      </c>
      <c r="L87" s="3" t="s">
        <v>21</v>
      </c>
      <c r="N87" s="1">
        <f t="shared" si="21"/>
        <v>0.53448275862068961</v>
      </c>
      <c r="O87" s="1">
        <f t="shared" si="22"/>
        <v>0.49523809523809526</v>
      </c>
      <c r="P87" s="1">
        <f t="shared" si="23"/>
        <v>0.41666666666666669</v>
      </c>
      <c r="Q87" s="1">
        <f t="shared" si="24"/>
        <v>0.78947368421052633</v>
      </c>
      <c r="R87" s="1">
        <f t="shared" si="25"/>
        <v>0.13414634146341464</v>
      </c>
      <c r="S87" s="1">
        <f t="shared" si="26"/>
        <v>0.6875</v>
      </c>
      <c r="T87" s="1">
        <f t="shared" si="27"/>
        <v>3.0575075461993926</v>
      </c>
      <c r="V87" s="1">
        <f>Sheet3!AB87^2</f>
        <v>5.3472036368845219E-2</v>
      </c>
      <c r="W87" s="1">
        <f>Sheet3!AC87^2</f>
        <v>0.59099160924205218</v>
      </c>
      <c r="X87" s="1">
        <f t="shared" si="28"/>
        <v>3.1013781093930226</v>
      </c>
      <c r="Y87" s="1">
        <f t="shared" si="29"/>
        <v>34.277513336039029</v>
      </c>
      <c r="Z87" s="1">
        <f t="shared" si="30"/>
        <v>461.58589999999992</v>
      </c>
      <c r="AA87" s="1">
        <f t="shared" si="31"/>
        <v>3011.6306999999997</v>
      </c>
      <c r="AB87" s="1">
        <f t="shared" si="32"/>
        <v>0.86710132043017418</v>
      </c>
      <c r="AC87" s="1">
        <f t="shared" si="33"/>
        <v>0.13289867956982584</v>
      </c>
      <c r="AD87" s="1">
        <f>ABS(AB87 - Sheet3!AB87)</f>
        <v>0.63586110686677766</v>
      </c>
      <c r="AF87" s="15">
        <f t="shared" si="34"/>
        <v>1</v>
      </c>
      <c r="AG87" s="15">
        <f t="shared" si="35"/>
        <v>1</v>
      </c>
    </row>
    <row r="88" spans="1:33" x14ac:dyDescent="0.3">
      <c r="A88" s="2">
        <v>202210</v>
      </c>
      <c r="B88" s="6">
        <v>44842</v>
      </c>
      <c r="C88" s="3">
        <v>35</v>
      </c>
      <c r="D88" s="3">
        <v>61</v>
      </c>
      <c r="E88" s="3">
        <v>50</v>
      </c>
      <c r="F88" s="3">
        <v>17</v>
      </c>
      <c r="G88" s="3">
        <v>28</v>
      </c>
      <c r="H88" s="3">
        <v>25</v>
      </c>
      <c r="I88" s="3">
        <v>61</v>
      </c>
      <c r="J88" s="3" t="s">
        <v>19</v>
      </c>
      <c r="K88" s="3" t="s">
        <v>20</v>
      </c>
      <c r="L88" s="3" t="s">
        <v>24</v>
      </c>
      <c r="N88" s="1">
        <f t="shared" si="21"/>
        <v>0.13793103448275862</v>
      </c>
      <c r="O88" s="1">
        <f t="shared" si="22"/>
        <v>0.17142857142857143</v>
      </c>
      <c r="P88" s="1">
        <f t="shared" si="23"/>
        <v>0.41666666666666669</v>
      </c>
      <c r="Q88" s="1">
        <f t="shared" si="24"/>
        <v>0.42105263157894735</v>
      </c>
      <c r="R88" s="1">
        <f t="shared" si="25"/>
        <v>6.7073170731707321E-2</v>
      </c>
      <c r="S88" s="1">
        <f t="shared" si="26"/>
        <v>0.375</v>
      </c>
      <c r="T88" s="1">
        <f t="shared" si="27"/>
        <v>1.5891520748886514</v>
      </c>
      <c r="V88" s="1">
        <f>Sheet3!AB88^2</f>
        <v>0.18900353045963514</v>
      </c>
      <c r="W88" s="1">
        <f>Sheet3!AC88^2</f>
        <v>0.31951280489751593</v>
      </c>
      <c r="X88" s="1">
        <f t="shared" si="28"/>
        <v>6.6151235660872301</v>
      </c>
      <c r="Y88" s="1">
        <f t="shared" si="29"/>
        <v>11.182948171413058</v>
      </c>
      <c r="Z88" s="1">
        <f t="shared" si="30"/>
        <v>2664.7458999999994</v>
      </c>
      <c r="AA88" s="1">
        <f t="shared" si="31"/>
        <v>7343.9906999999985</v>
      </c>
      <c r="AB88" s="1">
        <f t="shared" si="32"/>
        <v>0.73375801497263893</v>
      </c>
      <c r="AC88" s="1">
        <f t="shared" si="33"/>
        <v>0.26624198502736102</v>
      </c>
      <c r="AD88" s="1">
        <f>ABS(AB88 - Sheet3!AB88)</f>
        <v>0.2990126521915793</v>
      </c>
      <c r="AF88" s="15">
        <f t="shared" si="34"/>
        <v>1</v>
      </c>
      <c r="AG88" s="15">
        <f t="shared" si="35"/>
        <v>1</v>
      </c>
    </row>
    <row r="89" spans="1:33" x14ac:dyDescent="0.3">
      <c r="A89" s="2">
        <v>202210</v>
      </c>
      <c r="B89" s="6">
        <v>44841</v>
      </c>
      <c r="C89" s="3">
        <v>51</v>
      </c>
      <c r="D89" s="3">
        <v>66</v>
      </c>
      <c r="E89" s="3">
        <v>53</v>
      </c>
      <c r="F89" s="3">
        <v>17</v>
      </c>
      <c r="G89" s="3">
        <v>35</v>
      </c>
      <c r="H89" s="3">
        <v>34</v>
      </c>
      <c r="I89" s="3">
        <v>66</v>
      </c>
      <c r="J89" s="3" t="s">
        <v>19</v>
      </c>
      <c r="K89" s="3" t="s">
        <v>20</v>
      </c>
      <c r="L89" s="3" t="s">
        <v>26</v>
      </c>
      <c r="N89" s="1">
        <f t="shared" si="21"/>
        <v>0.41379310344827586</v>
      </c>
      <c r="O89" s="1">
        <f t="shared" si="22"/>
        <v>0.21904761904761905</v>
      </c>
      <c r="P89" s="1">
        <f t="shared" si="23"/>
        <v>0.66666666666666663</v>
      </c>
      <c r="Q89" s="1">
        <f t="shared" si="24"/>
        <v>0.42105263157894735</v>
      </c>
      <c r="R89" s="1">
        <f t="shared" si="25"/>
        <v>0.10975609756097561</v>
      </c>
      <c r="S89" s="1">
        <f t="shared" si="26"/>
        <v>0.65625</v>
      </c>
      <c r="T89" s="1">
        <f t="shared" si="27"/>
        <v>2.4865661183024845</v>
      </c>
      <c r="V89" s="1">
        <f>Sheet3!AB89^2</f>
        <v>0.16460828632423347</v>
      </c>
      <c r="W89" s="1">
        <f>Sheet3!AC89^2</f>
        <v>0.35316935128541382</v>
      </c>
      <c r="X89" s="1">
        <f t="shared" si="28"/>
        <v>8.3950226025359065</v>
      </c>
      <c r="Y89" s="1">
        <f t="shared" si="29"/>
        <v>18.011636915556107</v>
      </c>
      <c r="Z89" s="1">
        <f t="shared" si="30"/>
        <v>1429.2458999999994</v>
      </c>
      <c r="AA89" s="1">
        <f t="shared" si="31"/>
        <v>5271.5906999999988</v>
      </c>
      <c r="AB89" s="1">
        <f t="shared" si="32"/>
        <v>0.78670634947284046</v>
      </c>
      <c r="AC89" s="1">
        <f t="shared" si="33"/>
        <v>0.21329365052715951</v>
      </c>
      <c r="AD89" s="1">
        <f>ABS(AB89 - Sheet3!AB89)</f>
        <v>0.38098688195343061</v>
      </c>
      <c r="AF89" s="15">
        <f t="shared" si="34"/>
        <v>1</v>
      </c>
      <c r="AG89" s="15">
        <f t="shared" si="35"/>
        <v>1</v>
      </c>
    </row>
    <row r="90" spans="1:33" x14ac:dyDescent="0.3">
      <c r="A90" s="2">
        <v>202210</v>
      </c>
      <c r="B90" s="6">
        <v>44840</v>
      </c>
      <c r="C90" s="3">
        <v>61</v>
      </c>
      <c r="D90" s="3">
        <v>89</v>
      </c>
      <c r="E90" s="3">
        <v>51</v>
      </c>
      <c r="F90" s="3">
        <v>20</v>
      </c>
      <c r="G90" s="3">
        <v>39</v>
      </c>
      <c r="H90" s="3">
        <v>32</v>
      </c>
      <c r="I90" s="3">
        <v>89</v>
      </c>
      <c r="J90" s="3" t="s">
        <v>19</v>
      </c>
      <c r="K90" s="3" t="s">
        <v>20</v>
      </c>
      <c r="L90" s="3" t="s">
        <v>21</v>
      </c>
      <c r="N90" s="1">
        <f t="shared" si="21"/>
        <v>0.58620689655172409</v>
      </c>
      <c r="O90" s="1">
        <f t="shared" si="22"/>
        <v>0.43809523809523809</v>
      </c>
      <c r="P90" s="1">
        <f t="shared" si="23"/>
        <v>0.5</v>
      </c>
      <c r="Q90" s="1">
        <f t="shared" si="24"/>
        <v>0.57894736842105265</v>
      </c>
      <c r="R90" s="1">
        <f t="shared" si="25"/>
        <v>0.13414634146341464</v>
      </c>
      <c r="S90" s="1">
        <f t="shared" si="26"/>
        <v>0.59375</v>
      </c>
      <c r="T90" s="1">
        <f t="shared" si="27"/>
        <v>2.8311458445314295</v>
      </c>
      <c r="V90" s="1">
        <f>Sheet3!AB90^2</f>
        <v>4.2951412337850416E-2</v>
      </c>
      <c r="W90" s="1">
        <f>Sheet3!AC90^2</f>
        <v>0.62845696201142964</v>
      </c>
      <c r="X90" s="1">
        <f t="shared" si="28"/>
        <v>2.6200361526088756</v>
      </c>
      <c r="Y90" s="1">
        <f t="shared" si="29"/>
        <v>38.335874682697209</v>
      </c>
      <c r="Z90" s="1">
        <f t="shared" si="30"/>
        <v>373.06589999999989</v>
      </c>
      <c r="AA90" s="1">
        <f t="shared" si="31"/>
        <v>3073.9706999999994</v>
      </c>
      <c r="AB90" s="1">
        <f t="shared" si="32"/>
        <v>0.89177199336960911</v>
      </c>
      <c r="AC90" s="1">
        <f t="shared" si="33"/>
        <v>0.10822800663039085</v>
      </c>
      <c r="AD90" s="1">
        <f>ABS(AB90 - Sheet3!AB90)</f>
        <v>0.68452476820639874</v>
      </c>
      <c r="AF90" s="15">
        <f t="shared" si="34"/>
        <v>1</v>
      </c>
      <c r="AG90" s="15">
        <f t="shared" si="35"/>
        <v>1</v>
      </c>
    </row>
    <row r="91" spans="1:33" x14ac:dyDescent="0.3">
      <c r="A91" s="2">
        <v>202210</v>
      </c>
      <c r="B91" s="6">
        <v>44839</v>
      </c>
      <c r="C91" s="3">
        <v>51</v>
      </c>
      <c r="D91" s="3">
        <v>68</v>
      </c>
      <c r="E91" s="3">
        <v>50</v>
      </c>
      <c r="F91" s="3">
        <v>22</v>
      </c>
      <c r="G91" s="3">
        <v>36</v>
      </c>
      <c r="H91" s="3">
        <v>42</v>
      </c>
      <c r="I91" s="3">
        <v>68</v>
      </c>
      <c r="J91" s="3" t="s">
        <v>19</v>
      </c>
      <c r="K91" s="3" t="s">
        <v>20</v>
      </c>
      <c r="L91" s="3" t="s">
        <v>21</v>
      </c>
      <c r="N91" s="1">
        <f t="shared" si="21"/>
        <v>0.41379310344827586</v>
      </c>
      <c r="O91" s="1">
        <f t="shared" si="22"/>
        <v>0.23809523809523808</v>
      </c>
      <c r="P91" s="1">
        <f t="shared" si="23"/>
        <v>0.41666666666666669</v>
      </c>
      <c r="Q91" s="1">
        <f t="shared" si="24"/>
        <v>0.68421052631578949</v>
      </c>
      <c r="R91" s="1">
        <f t="shared" si="25"/>
        <v>0.11585365853658537</v>
      </c>
      <c r="S91" s="1">
        <f t="shared" si="26"/>
        <v>0.90625</v>
      </c>
      <c r="T91" s="1">
        <f t="shared" si="27"/>
        <v>2.774869193062556</v>
      </c>
      <c r="V91" s="1">
        <f>Sheet3!AB91^2</f>
        <v>0.16798276530315248</v>
      </c>
      <c r="W91" s="1">
        <f>Sheet3!AC91^2</f>
        <v>0.34826875345962555</v>
      </c>
      <c r="X91" s="1">
        <f t="shared" si="28"/>
        <v>8.5671210304607772</v>
      </c>
      <c r="Y91" s="1">
        <f t="shared" si="29"/>
        <v>17.761706426440902</v>
      </c>
      <c r="Z91" s="1">
        <f t="shared" si="30"/>
        <v>1485.1858999999995</v>
      </c>
      <c r="AA91" s="1">
        <f t="shared" si="31"/>
        <v>5193.4906999999994</v>
      </c>
      <c r="AB91" s="1">
        <f t="shared" si="32"/>
        <v>0.77762272543635369</v>
      </c>
      <c r="AC91" s="1">
        <f t="shared" si="33"/>
        <v>0.22237727456364631</v>
      </c>
      <c r="AD91" s="1">
        <f>ABS(AB91 - Sheet3!AB91)</f>
        <v>0.36776571951459019</v>
      </c>
      <c r="AF91" s="15">
        <f t="shared" si="34"/>
        <v>1</v>
      </c>
      <c r="AG91" s="15">
        <f t="shared" si="35"/>
        <v>1</v>
      </c>
    </row>
    <row r="92" spans="1:33" x14ac:dyDescent="0.3">
      <c r="A92" s="2">
        <v>202210</v>
      </c>
      <c r="B92" s="6">
        <v>44838</v>
      </c>
      <c r="C92" s="3">
        <v>67</v>
      </c>
      <c r="D92" s="3">
        <v>98</v>
      </c>
      <c r="E92" s="3">
        <v>51</v>
      </c>
      <c r="F92" s="3">
        <v>15</v>
      </c>
      <c r="G92" s="3">
        <v>40</v>
      </c>
      <c r="H92" s="3">
        <v>33</v>
      </c>
      <c r="I92" s="3">
        <v>98</v>
      </c>
      <c r="J92" s="3" t="s">
        <v>19</v>
      </c>
      <c r="K92" s="3" t="s">
        <v>20</v>
      </c>
      <c r="L92" s="3" t="s">
        <v>21</v>
      </c>
      <c r="N92" s="1">
        <f t="shared" si="21"/>
        <v>0.68965517241379315</v>
      </c>
      <c r="O92" s="1">
        <f t="shared" si="22"/>
        <v>0.52380952380952384</v>
      </c>
      <c r="P92" s="1">
        <f t="shared" si="23"/>
        <v>0.5</v>
      </c>
      <c r="Q92" s="1">
        <f t="shared" si="24"/>
        <v>0.31578947368421051</v>
      </c>
      <c r="R92" s="1">
        <f t="shared" si="25"/>
        <v>0.1402439024390244</v>
      </c>
      <c r="S92" s="1">
        <f t="shared" si="26"/>
        <v>0.625</v>
      </c>
      <c r="T92" s="1">
        <f t="shared" si="27"/>
        <v>2.7944980723465518</v>
      </c>
      <c r="V92" s="1">
        <f>Sheet3!AB92^2</f>
        <v>5.6554927682311198E-2</v>
      </c>
      <c r="W92" s="1">
        <f>Sheet3!AC92^2</f>
        <v>0.58092932836153777</v>
      </c>
      <c r="X92" s="1">
        <f t="shared" si="28"/>
        <v>3.7891801547148503</v>
      </c>
      <c r="Y92" s="1">
        <f t="shared" si="29"/>
        <v>38.922265000223028</v>
      </c>
      <c r="Z92" s="1">
        <f t="shared" si="30"/>
        <v>348.5458999999999</v>
      </c>
      <c r="AA92" s="1">
        <f t="shared" si="31"/>
        <v>2626.6907000000001</v>
      </c>
      <c r="AB92" s="1">
        <f t="shared" si="32"/>
        <v>0.88285103107430185</v>
      </c>
      <c r="AC92" s="1">
        <f t="shared" si="33"/>
        <v>0.11714896892569819</v>
      </c>
      <c r="AD92" s="1">
        <f>ABS(AB92 - Sheet3!AB92)</f>
        <v>0.64503823141391514</v>
      </c>
      <c r="AF92" s="15">
        <f t="shared" si="34"/>
        <v>1</v>
      </c>
      <c r="AG92" s="15">
        <f t="shared" si="35"/>
        <v>1</v>
      </c>
    </row>
    <row r="93" spans="1:33" x14ac:dyDescent="0.3">
      <c r="A93" s="2">
        <v>202210</v>
      </c>
      <c r="B93" s="6">
        <v>44837</v>
      </c>
      <c r="C93" s="3">
        <v>56</v>
      </c>
      <c r="D93" s="3">
        <v>76</v>
      </c>
      <c r="E93" s="3">
        <v>51</v>
      </c>
      <c r="F93" s="3">
        <v>18</v>
      </c>
      <c r="G93" s="3">
        <v>38</v>
      </c>
      <c r="H93" s="3">
        <v>35</v>
      </c>
      <c r="I93" s="3">
        <v>76</v>
      </c>
      <c r="J93" s="3" t="s">
        <v>19</v>
      </c>
      <c r="K93" s="3" t="s">
        <v>20</v>
      </c>
      <c r="L93" s="3" t="s">
        <v>24</v>
      </c>
      <c r="N93" s="1">
        <f t="shared" si="21"/>
        <v>0.5</v>
      </c>
      <c r="O93" s="1">
        <f t="shared" si="22"/>
        <v>0.31428571428571428</v>
      </c>
      <c r="P93" s="1">
        <f t="shared" si="23"/>
        <v>0.5</v>
      </c>
      <c r="Q93" s="1">
        <f t="shared" si="24"/>
        <v>0.47368421052631576</v>
      </c>
      <c r="R93" s="1">
        <f t="shared" si="25"/>
        <v>0.12804878048780488</v>
      </c>
      <c r="S93" s="1">
        <f t="shared" si="26"/>
        <v>0.6875</v>
      </c>
      <c r="T93" s="1">
        <f t="shared" si="27"/>
        <v>2.6035187052998348</v>
      </c>
      <c r="V93" s="1">
        <f>Sheet3!AB93^2</f>
        <v>0.1184137912908958</v>
      </c>
      <c r="W93" s="1">
        <f>Sheet3!AC93^2</f>
        <v>0.43018769096950926</v>
      </c>
      <c r="X93" s="1">
        <f t="shared" si="28"/>
        <v>6.6311723122901647</v>
      </c>
      <c r="Y93" s="1">
        <f t="shared" si="29"/>
        <v>24.090510694292519</v>
      </c>
      <c r="Z93" s="1">
        <f t="shared" si="30"/>
        <v>772.54589999999973</v>
      </c>
      <c r="AA93" s="1">
        <f t="shared" si="31"/>
        <v>4027.7906999999996</v>
      </c>
      <c r="AB93" s="1">
        <f t="shared" si="32"/>
        <v>0.83906422312135365</v>
      </c>
      <c r="AC93" s="1">
        <f t="shared" si="33"/>
        <v>0.16093577687864638</v>
      </c>
      <c r="AD93" s="1">
        <f>ABS(AB93 - Sheet3!AB93)</f>
        <v>0.49495117296066038</v>
      </c>
      <c r="AF93" s="15">
        <f t="shared" si="34"/>
        <v>1</v>
      </c>
      <c r="AG93" s="15">
        <f t="shared" si="35"/>
        <v>1</v>
      </c>
    </row>
    <row r="94" spans="1:33" x14ac:dyDescent="0.3">
      <c r="A94" s="2">
        <v>202210</v>
      </c>
      <c r="B94" s="6">
        <v>44836</v>
      </c>
      <c r="C94" s="3">
        <v>54</v>
      </c>
      <c r="D94" s="3">
        <v>79</v>
      </c>
      <c r="E94" s="3">
        <v>50</v>
      </c>
      <c r="F94" s="3">
        <v>12</v>
      </c>
      <c r="G94" s="3">
        <v>43</v>
      </c>
      <c r="H94" s="3">
        <v>19</v>
      </c>
      <c r="I94" s="3">
        <v>79</v>
      </c>
      <c r="J94" s="3" t="s">
        <v>19</v>
      </c>
      <c r="K94" s="3" t="s">
        <v>20</v>
      </c>
      <c r="L94" s="3" t="s">
        <v>21</v>
      </c>
      <c r="N94" s="1">
        <f t="shared" si="21"/>
        <v>0.46551724137931033</v>
      </c>
      <c r="O94" s="1">
        <f t="shared" si="22"/>
        <v>0.34285714285714286</v>
      </c>
      <c r="P94" s="1">
        <f t="shared" si="23"/>
        <v>0.41666666666666669</v>
      </c>
      <c r="Q94" s="1">
        <f t="shared" si="24"/>
        <v>0.15789473684210525</v>
      </c>
      <c r="R94" s="1">
        <f t="shared" si="25"/>
        <v>0.15853658536585366</v>
      </c>
      <c r="S94" s="1">
        <f t="shared" si="26"/>
        <v>0.1875</v>
      </c>
      <c r="T94" s="1">
        <f t="shared" si="27"/>
        <v>1.7289723731110789</v>
      </c>
      <c r="V94" s="1">
        <f>Sheet3!AB94^2</f>
        <v>0.13222971718539292</v>
      </c>
      <c r="W94" s="1">
        <f>Sheet3!AC94^2</f>
        <v>0.40496163130400914</v>
      </c>
      <c r="X94" s="1">
        <f t="shared" si="28"/>
        <v>7.1404047280112177</v>
      </c>
      <c r="Y94" s="1">
        <f t="shared" si="29"/>
        <v>21.867928090416495</v>
      </c>
      <c r="Z94" s="1">
        <f t="shared" si="30"/>
        <v>554.70589999999982</v>
      </c>
      <c r="AA94" s="1">
        <f t="shared" si="31"/>
        <v>3410.6706999999992</v>
      </c>
      <c r="AB94" s="1">
        <f t="shared" si="32"/>
        <v>0.86011268135288843</v>
      </c>
      <c r="AC94" s="1">
        <f t="shared" si="33"/>
        <v>0.1398873186471116</v>
      </c>
      <c r="AD94" s="1">
        <f>ABS(AB94 - Sheet3!AB94)</f>
        <v>0.49647863841219658</v>
      </c>
      <c r="AF94" s="15">
        <f t="shared" si="34"/>
        <v>1</v>
      </c>
      <c r="AG94" s="15">
        <f t="shared" si="35"/>
        <v>1</v>
      </c>
    </row>
    <row r="95" spans="1:33" ht="27.6" x14ac:dyDescent="0.3">
      <c r="A95" s="2">
        <v>202210</v>
      </c>
      <c r="B95" s="6">
        <v>44835</v>
      </c>
      <c r="C95" s="3">
        <v>80</v>
      </c>
      <c r="D95" s="3">
        <v>128</v>
      </c>
      <c r="E95" s="3">
        <v>52</v>
      </c>
      <c r="F95" s="3">
        <v>14</v>
      </c>
      <c r="G95" s="3">
        <v>39</v>
      </c>
      <c r="H95" s="3">
        <v>21</v>
      </c>
      <c r="I95" s="3">
        <v>128</v>
      </c>
      <c r="J95" s="3" t="s">
        <v>19</v>
      </c>
      <c r="K95" s="3" t="s">
        <v>22</v>
      </c>
      <c r="L95" s="3" t="s">
        <v>21</v>
      </c>
      <c r="N95" s="1">
        <f t="shared" si="21"/>
        <v>0.91379310344827591</v>
      </c>
      <c r="O95" s="1">
        <f t="shared" si="22"/>
        <v>0.80952380952380953</v>
      </c>
      <c r="P95" s="1">
        <f t="shared" si="23"/>
        <v>0.58333333333333337</v>
      </c>
      <c r="Q95" s="1">
        <f t="shared" si="24"/>
        <v>0.26315789473684209</v>
      </c>
      <c r="R95" s="1">
        <f t="shared" si="25"/>
        <v>0.13414634146341464</v>
      </c>
      <c r="S95" s="1">
        <f t="shared" si="26"/>
        <v>0.25</v>
      </c>
      <c r="T95" s="1">
        <f t="shared" si="27"/>
        <v>2.9539544825056758</v>
      </c>
      <c r="V95" s="1">
        <f>Sheet3!AB95^2</f>
        <v>0.18559697853401158</v>
      </c>
      <c r="W95" s="1">
        <f>Sheet3!AC95^2</f>
        <v>0.32397762282289111</v>
      </c>
      <c r="X95" s="1">
        <f t="shared" si="28"/>
        <v>14.847758282720926</v>
      </c>
      <c r="Y95" s="1">
        <f t="shared" si="29"/>
        <v>25.918209825831291</v>
      </c>
      <c r="Z95" s="1">
        <f t="shared" si="30"/>
        <v>1818.8459000000003</v>
      </c>
      <c r="AA95" s="1">
        <f t="shared" si="31"/>
        <v>3021.8507</v>
      </c>
      <c r="AB95" s="1">
        <f t="shared" si="32"/>
        <v>0.62425947125048076</v>
      </c>
      <c r="AC95" s="1">
        <f t="shared" si="33"/>
        <v>0.37574052874951924</v>
      </c>
      <c r="AD95" s="1">
        <f>ABS(AB95 - Sheet3!AB95)</f>
        <v>0.19344979339492052</v>
      </c>
      <c r="AF95" s="15">
        <f t="shared" si="34"/>
        <v>1</v>
      </c>
      <c r="AG95" s="15">
        <f t="shared" si="35"/>
        <v>0</v>
      </c>
    </row>
    <row r="96" spans="1:33" x14ac:dyDescent="0.3">
      <c r="A96" s="2">
        <v>202210</v>
      </c>
      <c r="B96" s="6">
        <v>44861</v>
      </c>
      <c r="C96" s="3">
        <v>41</v>
      </c>
      <c r="D96" s="3">
        <v>66</v>
      </c>
      <c r="E96" s="3">
        <v>51</v>
      </c>
      <c r="F96" s="3">
        <v>18</v>
      </c>
      <c r="G96" s="3">
        <v>35</v>
      </c>
      <c r="H96" s="3">
        <v>27</v>
      </c>
      <c r="I96" s="3">
        <v>66</v>
      </c>
      <c r="J96" s="3" t="s">
        <v>19</v>
      </c>
      <c r="K96" s="3" t="s">
        <v>20</v>
      </c>
      <c r="L96" s="3" t="s">
        <v>21</v>
      </c>
      <c r="N96" s="1">
        <f t="shared" si="21"/>
        <v>0.2413793103448276</v>
      </c>
      <c r="O96" s="1">
        <f t="shared" si="22"/>
        <v>0.21904761904761905</v>
      </c>
      <c r="P96" s="1">
        <f t="shared" si="23"/>
        <v>0.5</v>
      </c>
      <c r="Q96" s="1">
        <f t="shared" si="24"/>
        <v>0.47368421052631576</v>
      </c>
      <c r="R96" s="1">
        <f t="shared" si="25"/>
        <v>0.10975609756097561</v>
      </c>
      <c r="S96" s="1">
        <f t="shared" si="26"/>
        <v>0.4375</v>
      </c>
      <c r="T96" s="1">
        <f t="shared" si="27"/>
        <v>1.9813672374797382</v>
      </c>
      <c r="V96" s="1">
        <f>Sheet3!AB96^2</f>
        <v>0.17838239934283204</v>
      </c>
      <c r="W96" s="1">
        <f>Sheet3!AC96^2</f>
        <v>0.33367558785654589</v>
      </c>
      <c r="X96" s="1">
        <f t="shared" si="28"/>
        <v>7.3136783730561135</v>
      </c>
      <c r="Y96" s="1">
        <f t="shared" si="29"/>
        <v>13.680699102118382</v>
      </c>
      <c r="Z96" s="1">
        <f t="shared" si="30"/>
        <v>1713.3858999999998</v>
      </c>
      <c r="AA96" s="1">
        <f t="shared" si="31"/>
        <v>5689.3906999999999</v>
      </c>
      <c r="AB96" s="1">
        <f t="shared" si="32"/>
        <v>0.76854820932999657</v>
      </c>
      <c r="AC96" s="1">
        <f t="shared" si="33"/>
        <v>0.23145179067000343</v>
      </c>
      <c r="AD96" s="1">
        <f>ABS(AB96 - Sheet3!AB96)</f>
        <v>0.34619480358685351</v>
      </c>
      <c r="AF96" s="15">
        <f t="shared" si="34"/>
        <v>1</v>
      </c>
      <c r="AG96" s="15">
        <f t="shared" si="35"/>
        <v>1</v>
      </c>
    </row>
    <row r="97" spans="1:33" x14ac:dyDescent="0.3">
      <c r="A97" s="2">
        <v>202210</v>
      </c>
      <c r="B97" s="6">
        <v>44862</v>
      </c>
      <c r="C97" s="3">
        <v>54</v>
      </c>
      <c r="D97" s="3">
        <v>77</v>
      </c>
      <c r="E97" s="3">
        <v>51</v>
      </c>
      <c r="F97" s="3">
        <v>16</v>
      </c>
      <c r="G97" s="3">
        <v>33</v>
      </c>
      <c r="H97" s="3">
        <v>32</v>
      </c>
      <c r="I97" s="3">
        <v>77</v>
      </c>
      <c r="J97" s="3" t="s">
        <v>19</v>
      </c>
      <c r="K97" s="3" t="s">
        <v>20</v>
      </c>
      <c r="L97" s="3" t="s">
        <v>21</v>
      </c>
      <c r="N97" s="1">
        <f t="shared" si="21"/>
        <v>0.46551724137931033</v>
      </c>
      <c r="O97" s="1">
        <f t="shared" si="22"/>
        <v>0.32380952380952382</v>
      </c>
      <c r="P97" s="1">
        <f t="shared" si="23"/>
        <v>0.5</v>
      </c>
      <c r="Q97" s="1">
        <f t="shared" si="24"/>
        <v>0.36842105263157893</v>
      </c>
      <c r="R97" s="1">
        <f t="shared" si="25"/>
        <v>9.7560975609756101E-2</v>
      </c>
      <c r="S97" s="1">
        <f t="shared" si="26"/>
        <v>0.59375</v>
      </c>
      <c r="T97" s="1">
        <f t="shared" si="27"/>
        <v>2.349058793430169</v>
      </c>
      <c r="V97" s="1">
        <f>Sheet3!AB97^2</f>
        <v>0.11510341006452832</v>
      </c>
      <c r="W97" s="1">
        <f>Sheet3!AC97^2</f>
        <v>0.43656554062899461</v>
      </c>
      <c r="X97" s="1">
        <f t="shared" si="28"/>
        <v>6.2155841434845289</v>
      </c>
      <c r="Y97" s="1">
        <f t="shared" si="29"/>
        <v>23.574539193965709</v>
      </c>
      <c r="Z97" s="1">
        <f t="shared" si="30"/>
        <v>937.26589999999976</v>
      </c>
      <c r="AA97" s="1">
        <f t="shared" si="31"/>
        <v>4520.1107000000002</v>
      </c>
      <c r="AB97" s="1">
        <f t="shared" si="32"/>
        <v>0.82825706036119995</v>
      </c>
      <c r="AC97" s="1">
        <f t="shared" si="33"/>
        <v>0.17174293963880002</v>
      </c>
      <c r="AD97" s="1">
        <f>ABS(AB97 - Sheet3!AB97)</f>
        <v>0.48898812564343314</v>
      </c>
      <c r="AF97" s="15">
        <f t="shared" si="34"/>
        <v>1</v>
      </c>
      <c r="AG97" s="15">
        <f t="shared" si="35"/>
        <v>1</v>
      </c>
    </row>
    <row r="98" spans="1:33" x14ac:dyDescent="0.3">
      <c r="A98" s="2">
        <v>202210</v>
      </c>
      <c r="B98" s="6">
        <v>44863</v>
      </c>
      <c r="C98" s="3">
        <v>53</v>
      </c>
      <c r="D98" s="3">
        <v>86</v>
      </c>
      <c r="E98" s="3">
        <v>51</v>
      </c>
      <c r="F98" s="3">
        <v>15</v>
      </c>
      <c r="G98" s="3">
        <v>41</v>
      </c>
      <c r="H98" s="3">
        <v>29</v>
      </c>
      <c r="I98" s="3">
        <v>86</v>
      </c>
      <c r="J98" s="3" t="s">
        <v>19</v>
      </c>
      <c r="K98" s="3" t="s">
        <v>20</v>
      </c>
      <c r="L98" s="3" t="s">
        <v>21</v>
      </c>
      <c r="N98" s="1">
        <f t="shared" si="21"/>
        <v>0.44827586206896552</v>
      </c>
      <c r="O98" s="1">
        <f t="shared" si="22"/>
        <v>0.40952380952380951</v>
      </c>
      <c r="P98" s="1">
        <f t="shared" si="23"/>
        <v>0.5</v>
      </c>
      <c r="Q98" s="1">
        <f t="shared" si="24"/>
        <v>0.31578947368421051</v>
      </c>
      <c r="R98" s="1">
        <f t="shared" si="25"/>
        <v>0.14634146341463414</v>
      </c>
      <c r="S98" s="1">
        <f t="shared" si="26"/>
        <v>0.5</v>
      </c>
      <c r="T98" s="1">
        <f t="shared" si="27"/>
        <v>2.31993060869162</v>
      </c>
      <c r="V98" s="1">
        <f>Sheet3!AB98^2</f>
        <v>6.4154147341375409E-2</v>
      </c>
      <c r="W98" s="1">
        <f>Sheet3!AC98^2</f>
        <v>0.55758076730102868</v>
      </c>
      <c r="X98" s="1">
        <f t="shared" si="28"/>
        <v>3.4001698090928967</v>
      </c>
      <c r="Y98" s="1">
        <f t="shared" si="29"/>
        <v>29.551780666954521</v>
      </c>
      <c r="Z98" s="1">
        <f t="shared" si="30"/>
        <v>406.82589999999982</v>
      </c>
      <c r="AA98" s="1">
        <f t="shared" si="31"/>
        <v>3195.6306999999997</v>
      </c>
      <c r="AB98" s="1">
        <f t="shared" si="32"/>
        <v>0.88706986782297392</v>
      </c>
      <c r="AC98" s="1">
        <f t="shared" si="33"/>
        <v>0.11293013217702605</v>
      </c>
      <c r="AD98" s="1">
        <f>ABS(AB98 - Sheet3!AB98)</f>
        <v>0.63378317780280047</v>
      </c>
      <c r="AF98" s="15">
        <f t="shared" si="34"/>
        <v>1</v>
      </c>
      <c r="AG98" s="15">
        <f t="shared" si="35"/>
        <v>1</v>
      </c>
    </row>
    <row r="99" spans="1:33" x14ac:dyDescent="0.3">
      <c r="V99" s="1"/>
      <c r="W99" s="1"/>
      <c r="X99" s="1"/>
      <c r="Y99" s="1"/>
      <c r="Z99" s="1"/>
      <c r="AA99" s="1"/>
      <c r="AB99" s="1"/>
      <c r="AC99" s="1"/>
      <c r="AD99" s="1">
        <f>(SUMSQ(AB2:AB99) + SUMSQ(AC2:AC99)) / 98</f>
        <v>0.69831797180706112</v>
      </c>
      <c r="AF99" s="15">
        <f t="shared" si="34"/>
        <v>2</v>
      </c>
      <c r="AG99" s="15">
        <f t="shared" si="35"/>
        <v>0</v>
      </c>
    </row>
    <row r="100" spans="1:33" x14ac:dyDescent="0.3">
      <c r="AF100" s="15"/>
      <c r="AG100" s="15"/>
    </row>
    <row r="101" spans="1:33" x14ac:dyDescent="0.3">
      <c r="AF101" s="15"/>
      <c r="AG101" s="15">
        <f>SUM(AG2:AG99) / 98</f>
        <v>0.75510204081632648</v>
      </c>
    </row>
  </sheetData>
  <conditionalFormatting sqref="AD2:AD9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:AF99">
    <cfRule type="cellIs" dxfId="3" priority="2" operator="equal">
      <formula>2</formula>
    </cfRule>
    <cfRule type="cellIs" dxfId="2" priority="3" operator="equal">
      <formula>1</formula>
    </cfRule>
  </conditionalFormatting>
  <conditionalFormatting sqref="AG2:AG9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{2836F503-1261-4B86-82B6-0BCDB9F3B6EF}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36F503-1261-4B86-82B6-0BCDB9F3B6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AG2:AG99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7A9E-9A6C-416B-937F-F1BD03689C3B}">
  <sheetPr>
    <tabColor theme="5"/>
  </sheetPr>
  <dimension ref="A1:AN103"/>
  <sheetViews>
    <sheetView showGridLines="0" tabSelected="1" zoomScale="37" workbookViewId="0">
      <selection activeCell="AH24" sqref="AH24"/>
    </sheetView>
  </sheetViews>
  <sheetFormatPr defaultRowHeight="14.4" x14ac:dyDescent="0.3"/>
  <cols>
    <col min="1" max="1" width="13.5546875" customWidth="1"/>
    <col min="2" max="2" width="15.33203125" customWidth="1"/>
    <col min="3" max="3" width="8.77734375" customWidth="1"/>
    <col min="4" max="4" width="12.44140625" customWidth="1"/>
    <col min="5" max="5" width="6.44140625" customWidth="1"/>
    <col min="6" max="6" width="5.88671875" customWidth="1"/>
    <col min="7" max="7" width="10.33203125" customWidth="1"/>
    <col min="8" max="8" width="6.21875" customWidth="1"/>
    <col min="9" max="9" width="7.21875" customWidth="1"/>
    <col min="10" max="11" width="8.6640625" customWidth="1"/>
    <col min="12" max="12" width="11.21875" customWidth="1"/>
    <col min="14" max="15" width="9.109375" customWidth="1"/>
    <col min="16" max="16" width="16.44140625" customWidth="1"/>
    <col min="17" max="17" width="15.44140625" customWidth="1"/>
    <col min="18" max="19" width="9.109375" customWidth="1"/>
    <col min="20" max="20" width="12.6640625" customWidth="1"/>
    <col min="22" max="22" width="12.21875" bestFit="1" customWidth="1"/>
    <col min="23" max="23" width="13.44140625" customWidth="1"/>
    <col min="24" max="24" width="11.88671875" customWidth="1"/>
    <col min="25" max="25" width="12.6640625" customWidth="1"/>
    <col min="26" max="26" width="11.77734375" customWidth="1"/>
    <col min="27" max="27" width="8.77734375" customWidth="1"/>
    <col min="28" max="28" width="9.77734375" customWidth="1"/>
    <col min="29" max="29" width="11.33203125" customWidth="1"/>
    <col min="30" max="30" width="12.21875" bestFit="1" customWidth="1"/>
    <col min="32" max="32" width="6.77734375" bestFit="1" customWidth="1"/>
    <col min="33" max="33" width="16.44140625" bestFit="1" customWidth="1"/>
    <col min="36" max="36" width="10" bestFit="1" customWidth="1"/>
    <col min="37" max="37" width="10.88671875" bestFit="1" customWidth="1"/>
    <col min="38" max="38" width="12.5546875" bestFit="1" customWidth="1"/>
    <col min="39" max="39" width="13.109375" bestFit="1" customWidth="1"/>
  </cols>
  <sheetData>
    <row r="1" spans="1:40" ht="28.8" x14ac:dyDescent="0.3">
      <c r="A1" s="16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47</v>
      </c>
      <c r="AD1" s="17" t="s">
        <v>35</v>
      </c>
      <c r="AF1" s="17" t="s">
        <v>36</v>
      </c>
      <c r="AG1" s="17" t="s">
        <v>37</v>
      </c>
    </row>
    <row r="2" spans="1:40" x14ac:dyDescent="0.3">
      <c r="A2" s="2">
        <v>202212</v>
      </c>
      <c r="B2" s="3">
        <v>44926.625</v>
      </c>
      <c r="C2" s="3">
        <v>54</v>
      </c>
      <c r="D2" s="3">
        <v>73</v>
      </c>
      <c r="E2" s="3">
        <v>56</v>
      </c>
      <c r="F2" s="3">
        <v>24</v>
      </c>
      <c r="G2" s="3">
        <v>23</v>
      </c>
      <c r="H2" s="3">
        <v>24</v>
      </c>
      <c r="I2" s="3">
        <v>73</v>
      </c>
      <c r="J2" s="3" t="s">
        <v>19</v>
      </c>
      <c r="K2" s="3" t="s">
        <v>20</v>
      </c>
      <c r="L2" s="3" t="s">
        <v>21</v>
      </c>
      <c r="N2" s="1">
        <f t="shared" ref="N2:S2" si="0">(C2-MIN(C$2:C$99))/(MAX(C$2:C$99)-MIN(C$2:C$99))</f>
        <v>0.46551724137931033</v>
      </c>
      <c r="O2" s="1">
        <f t="shared" si="0"/>
        <v>0.2857142857142857</v>
      </c>
      <c r="P2" s="1">
        <f t="shared" si="0"/>
        <v>0.91666666666666663</v>
      </c>
      <c r="Q2" s="1">
        <f t="shared" si="0"/>
        <v>0.78947368421052633</v>
      </c>
      <c r="R2" s="1">
        <f t="shared" si="0"/>
        <v>3.6585365853658534E-2</v>
      </c>
      <c r="S2" s="1">
        <f t="shared" si="0"/>
        <v>0.34375</v>
      </c>
      <c r="T2" s="1">
        <f>SUM(N2:S2)</f>
        <v>2.8377072438244473</v>
      </c>
      <c r="V2" s="1">
        <f>Sheet4!AB2^2</f>
        <v>0.60602529288252927</v>
      </c>
      <c r="W2" s="1">
        <f>Sheet4!AC2^2</f>
        <v>4.907276581880498E-2</v>
      </c>
      <c r="X2" s="1">
        <f>V2 * C2</f>
        <v>32.725365815656581</v>
      </c>
      <c r="Y2" s="1">
        <f>W2 * C2</f>
        <v>2.6499293542154687</v>
      </c>
      <c r="Z2" s="1">
        <f>(C2-$C$102)^2 + (D2-$D$102)^2 + (E2-$E$102)^2 + (F2-$F$102)^2 + (G2-$G$102)^2 + (H2-$H$102)^2</f>
        <v>10186.088402747289</v>
      </c>
      <c r="AA2" s="1">
        <f>(C2-$C$103)^2 + (D2-$D$103)^2 + (E2-$E$103)^2 + (F2-$F$103)^2 + (G2-$G$103)^2 + (H2-$H$103)^2</f>
        <v>10381.372302656076</v>
      </c>
      <c r="AB2" s="1">
        <f>(1/Z2) / ((1/Z2) + (1/AA2))</f>
        <v>0.50474739936800961</v>
      </c>
      <c r="AC2" s="1">
        <f>1 - AB2</f>
        <v>0.49525260063199039</v>
      </c>
      <c r="AD2" s="1">
        <f>ABS(AB2 - Sheet4!AB2)</f>
        <v>0.27372886416385256</v>
      </c>
      <c r="AF2" s="15">
        <f>IF(AB2 &gt; AC2, 1, 2)</f>
        <v>1</v>
      </c>
      <c r="AG2" s="15">
        <f>IF(OR(AND(AF2=1, K2="SEDANG"), AND(AF2=2, K2="TIDAK SEHAT")), 1, 0)</f>
        <v>1</v>
      </c>
    </row>
    <row r="3" spans="1:40" x14ac:dyDescent="0.3">
      <c r="A3" s="2">
        <v>202212</v>
      </c>
      <c r="B3" s="6">
        <v>44925</v>
      </c>
      <c r="C3" s="3">
        <v>40</v>
      </c>
      <c r="D3" s="3">
        <v>64</v>
      </c>
      <c r="E3" s="3">
        <v>57</v>
      </c>
      <c r="F3" s="3">
        <v>21</v>
      </c>
      <c r="G3" s="3">
        <v>17</v>
      </c>
      <c r="H3" s="3">
        <v>24</v>
      </c>
      <c r="I3" s="3">
        <v>64</v>
      </c>
      <c r="J3" s="3" t="s">
        <v>19</v>
      </c>
      <c r="K3" s="3" t="s">
        <v>20</v>
      </c>
      <c r="L3" s="3" t="s">
        <v>21</v>
      </c>
      <c r="N3" s="1">
        <f t="shared" ref="N3:N66" si="1">(C3-MIN(C$2:C$99))/(MAX(C$2:C$99)-MIN(C$2:C$99))</f>
        <v>0.22413793103448276</v>
      </c>
      <c r="O3" s="1">
        <f t="shared" ref="O3:O66" si="2">(D3-MIN(D$2:D$99))/(MAX(D$2:D$99)-MIN(D$2:D$99))</f>
        <v>0.2</v>
      </c>
      <c r="P3" s="1">
        <f t="shared" ref="P3:P66" si="3">(E3-MIN(E$2:E$99))/(MAX(E$2:E$99)-MIN(E$2:E$99))</f>
        <v>1</v>
      </c>
      <c r="Q3" s="1">
        <f t="shared" ref="Q3:Q66" si="4">(F3-MIN(F$2:F$99))/(MAX(F$2:F$99)-MIN(F$2:F$99))</f>
        <v>0.63157894736842102</v>
      </c>
      <c r="R3" s="1">
        <f t="shared" ref="R3:R66" si="5">(G3-MIN(G$2:G$99))/(MAX(G$2:G$99)-MIN(G$2:G$99))</f>
        <v>0</v>
      </c>
      <c r="S3" s="1">
        <f t="shared" ref="S3:S66" si="6">(H3-MIN(H$2:H$99))/(MAX(H$2:H$99)-MIN(H$2:H$99))</f>
        <v>0.34375</v>
      </c>
      <c r="T3" s="1">
        <f t="shared" ref="T3:T66" si="7">SUM(N3:S3)</f>
        <v>2.3994668784029036</v>
      </c>
      <c r="V3" s="1">
        <f>Sheet4!AB3^2</f>
        <v>0.53456952654118661</v>
      </c>
      <c r="W3" s="1">
        <f>Sheet4!AC3^2</f>
        <v>7.2284292339341027E-2</v>
      </c>
      <c r="X3" s="1">
        <f t="shared" ref="X3:X66" si="8">V3 * C3</f>
        <v>21.382781061647464</v>
      </c>
      <c r="Y3" s="1">
        <f t="shared" ref="Y3:Y66" si="9">W3 * C3</f>
        <v>2.8913716935736411</v>
      </c>
      <c r="Z3" s="1">
        <f t="shared" ref="Z3:Z17" si="10">(C3-$C$102)^2 + (D3-$D$102)^2 + (E3-$E$102)^2 + (F3-$F$102)^2 + (G3-$G$102)^2 + (H3-$H$102)^2</f>
        <v>9064.3715315381469</v>
      </c>
      <c r="AA3" s="1">
        <f t="shared" ref="AA3:AA66" si="11">(C3-$C$103)^2 + (D3-$D$103)^2 + (E3-$E$103)^2 + (F3-$F$103)^2 + (G3-$G$103)^2 + (H3-$H$103)^2</f>
        <v>9511.9440490295565</v>
      </c>
      <c r="AB3" s="1">
        <f t="shared" ref="AB3:AB66" si="12">(1/Z3) / ((1/Z3) + (1/AA3))</f>
        <v>0.51204685922647664</v>
      </c>
      <c r="AC3" s="1">
        <f t="shared" ref="AC3:AC66" si="13">1 - AB3</f>
        <v>0.48795314077352336</v>
      </c>
      <c r="AD3" s="1">
        <f>ABS(AB3 - Sheet4!AB3)</f>
        <v>0.21909575787444613</v>
      </c>
      <c r="AF3" s="15">
        <f t="shared" ref="AF3:AF66" si="14">IF(AB3 &gt; AC3, 1, 2)</f>
        <v>1</v>
      </c>
      <c r="AG3" s="15">
        <f t="shared" ref="AG3:AG66" si="15">IF(OR(AND(AF3=1, K3="SEDANG"), AND(AF3=2, K3="TIDAK SEHAT")), 1, 0)</f>
        <v>1</v>
      </c>
    </row>
    <row r="4" spans="1:40" ht="27.6" x14ac:dyDescent="0.3">
      <c r="A4" s="2">
        <v>202207</v>
      </c>
      <c r="B4" s="6">
        <v>44748</v>
      </c>
      <c r="C4" s="3">
        <v>75</v>
      </c>
      <c r="D4" s="3">
        <v>129</v>
      </c>
      <c r="E4" s="3">
        <v>45</v>
      </c>
      <c r="F4" s="3">
        <v>25</v>
      </c>
      <c r="G4" s="3">
        <v>71</v>
      </c>
      <c r="H4" s="3">
        <v>26</v>
      </c>
      <c r="I4" s="3">
        <v>129</v>
      </c>
      <c r="J4" s="3" t="s">
        <v>19</v>
      </c>
      <c r="K4" s="3" t="s">
        <v>22</v>
      </c>
      <c r="L4" s="3" t="s">
        <v>21</v>
      </c>
      <c r="N4" s="1">
        <f t="shared" si="1"/>
        <v>0.82758620689655171</v>
      </c>
      <c r="O4" s="1">
        <f t="shared" si="2"/>
        <v>0.81904761904761902</v>
      </c>
      <c r="P4" s="1">
        <f t="shared" si="3"/>
        <v>0</v>
      </c>
      <c r="Q4" s="1">
        <f t="shared" si="4"/>
        <v>0.84210526315789469</v>
      </c>
      <c r="R4" s="1">
        <f t="shared" si="5"/>
        <v>0.32926829268292684</v>
      </c>
      <c r="S4" s="1">
        <f t="shared" si="6"/>
        <v>0.40625</v>
      </c>
      <c r="T4" s="1">
        <f t="shared" si="7"/>
        <v>3.2242573817849922</v>
      </c>
      <c r="V4" s="1">
        <f>Sheet4!AB4^2</f>
        <v>0.1059186328044687</v>
      </c>
      <c r="W4" s="1">
        <f>Sheet4!AC4^2</f>
        <v>0.45501577429340434</v>
      </c>
      <c r="X4" s="1">
        <f t="shared" si="8"/>
        <v>7.943897460335152</v>
      </c>
      <c r="Y4" s="1">
        <f t="shared" si="9"/>
        <v>34.126183072005325</v>
      </c>
      <c r="Z4" s="1">
        <f t="shared" si="10"/>
        <v>25223.163709561006</v>
      </c>
      <c r="AA4" s="1">
        <f t="shared" si="11"/>
        <v>25040.014683095851</v>
      </c>
      <c r="AB4" s="1">
        <f t="shared" si="12"/>
        <v>0.49817809943260655</v>
      </c>
      <c r="AC4" s="1">
        <f t="shared" si="13"/>
        <v>0.5018219005673934</v>
      </c>
      <c r="AD4" s="1">
        <f>ABS(AB4 - Sheet4!AB4)</f>
        <v>0.17272667017707433</v>
      </c>
      <c r="AF4" s="15">
        <f t="shared" si="14"/>
        <v>2</v>
      </c>
      <c r="AG4" s="15">
        <f t="shared" si="15"/>
        <v>1</v>
      </c>
    </row>
    <row r="5" spans="1:40" ht="27.6" x14ac:dyDescent="0.3">
      <c r="A5" s="2">
        <v>202207</v>
      </c>
      <c r="B5" s="6">
        <v>44747</v>
      </c>
      <c r="C5" s="3">
        <v>66</v>
      </c>
      <c r="D5" s="3">
        <v>110</v>
      </c>
      <c r="E5" s="3">
        <v>47</v>
      </c>
      <c r="F5" s="3">
        <v>16</v>
      </c>
      <c r="G5" s="3">
        <v>61</v>
      </c>
      <c r="H5" s="3">
        <v>23</v>
      </c>
      <c r="I5" s="3">
        <v>110</v>
      </c>
      <c r="J5" s="3" t="s">
        <v>19</v>
      </c>
      <c r="K5" s="3" t="s">
        <v>22</v>
      </c>
      <c r="L5" s="3" t="s">
        <v>21</v>
      </c>
      <c r="N5" s="1">
        <f t="shared" si="1"/>
        <v>0.67241379310344829</v>
      </c>
      <c r="O5" s="1">
        <f t="shared" si="2"/>
        <v>0.63809523809523805</v>
      </c>
      <c r="P5" s="1">
        <f t="shared" si="3"/>
        <v>0.16666666666666666</v>
      </c>
      <c r="Q5" s="1">
        <f t="shared" si="4"/>
        <v>0.36842105263157893</v>
      </c>
      <c r="R5" s="1">
        <f t="shared" si="5"/>
        <v>0.26829268292682928</v>
      </c>
      <c r="S5" s="1">
        <f t="shared" si="6"/>
        <v>0.3125</v>
      </c>
      <c r="T5" s="1">
        <f t="shared" si="7"/>
        <v>2.4263894334237612</v>
      </c>
      <c r="V5" s="1">
        <f>Sheet4!AB5^2</f>
        <v>0.52223907895067867</v>
      </c>
      <c r="W5" s="1">
        <f>Sheet4!AC5^2</f>
        <v>7.6916860273225876E-2</v>
      </c>
      <c r="X5" s="1">
        <f t="shared" si="8"/>
        <v>34.467779210744794</v>
      </c>
      <c r="Y5" s="1">
        <f t="shared" si="9"/>
        <v>5.0765127780329076</v>
      </c>
      <c r="Z5" s="1">
        <f t="shared" si="10"/>
        <v>18847.131435212272</v>
      </c>
      <c r="AA5" s="1">
        <f t="shared" si="11"/>
        <v>18826.16794862166</v>
      </c>
      <c r="AB5" s="1">
        <f t="shared" si="12"/>
        <v>0.49972177262234158</v>
      </c>
      <c r="AC5" s="1">
        <f t="shared" si="13"/>
        <v>0.50027822737765848</v>
      </c>
      <c r="AD5" s="1">
        <f>ABS(AB5 - Sheet4!AB5)</f>
        <v>0.22293933671638483</v>
      </c>
      <c r="AF5" s="15">
        <f t="shared" si="14"/>
        <v>2</v>
      </c>
      <c r="AG5" s="15">
        <f t="shared" si="15"/>
        <v>1</v>
      </c>
    </row>
    <row r="6" spans="1:40" x14ac:dyDescent="0.3">
      <c r="A6" s="2">
        <v>202207</v>
      </c>
      <c r="B6" s="6">
        <v>44746</v>
      </c>
      <c r="C6" s="3">
        <v>56</v>
      </c>
      <c r="D6" s="3">
        <v>78</v>
      </c>
      <c r="E6" s="3">
        <v>49</v>
      </c>
      <c r="F6" s="3">
        <v>11</v>
      </c>
      <c r="G6" s="3">
        <v>60</v>
      </c>
      <c r="H6" s="3">
        <v>13</v>
      </c>
      <c r="I6" s="3">
        <v>78</v>
      </c>
      <c r="J6" s="3" t="s">
        <v>19</v>
      </c>
      <c r="K6" s="3" t="s">
        <v>20</v>
      </c>
      <c r="L6" s="3" t="s">
        <v>21</v>
      </c>
      <c r="N6" s="1">
        <f t="shared" si="1"/>
        <v>0.5</v>
      </c>
      <c r="O6" s="1">
        <f t="shared" si="2"/>
        <v>0.33333333333333331</v>
      </c>
      <c r="P6" s="1">
        <f t="shared" si="3"/>
        <v>0.33333333333333331</v>
      </c>
      <c r="Q6" s="1">
        <f t="shared" si="4"/>
        <v>0.10526315789473684</v>
      </c>
      <c r="R6" s="1">
        <f t="shared" si="5"/>
        <v>0.26219512195121952</v>
      </c>
      <c r="S6" s="1">
        <f t="shared" si="6"/>
        <v>0</v>
      </c>
      <c r="T6" s="1">
        <f t="shared" si="7"/>
        <v>1.5341249465126228</v>
      </c>
      <c r="V6" s="1">
        <f>Sheet4!AB6^2</f>
        <v>0.65948109464867855</v>
      </c>
      <c r="W6" s="1">
        <f>Sheet4!AC6^2</f>
        <v>3.5312267649861236E-2</v>
      </c>
      <c r="X6" s="1">
        <f t="shared" si="8"/>
        <v>36.930941300325998</v>
      </c>
      <c r="Y6" s="1">
        <f t="shared" si="9"/>
        <v>1.9774869883922293</v>
      </c>
      <c r="Z6" s="1">
        <f t="shared" si="10"/>
        <v>12393.762241491453</v>
      </c>
      <c r="AA6" s="1">
        <f t="shared" si="11"/>
        <v>12553.004910317006</v>
      </c>
      <c r="AB6" s="1">
        <f t="shared" si="12"/>
        <v>0.50319164940003069</v>
      </c>
      <c r="AC6" s="1">
        <f t="shared" si="13"/>
        <v>0.49680835059996931</v>
      </c>
      <c r="AD6" s="1">
        <f>ABS(AB6 - Sheet4!AB6)</f>
        <v>0.30889276409937794</v>
      </c>
      <c r="AF6" s="15">
        <f t="shared" si="14"/>
        <v>1</v>
      </c>
      <c r="AG6" s="15">
        <f t="shared" si="15"/>
        <v>1</v>
      </c>
    </row>
    <row r="7" spans="1:40" ht="27.6" x14ac:dyDescent="0.3">
      <c r="A7" s="2">
        <v>202207</v>
      </c>
      <c r="B7" s="6">
        <v>44745</v>
      </c>
      <c r="C7" s="3">
        <v>78</v>
      </c>
      <c r="D7" s="3">
        <v>126</v>
      </c>
      <c r="E7" s="3">
        <v>48</v>
      </c>
      <c r="F7" s="3">
        <v>17</v>
      </c>
      <c r="G7" s="3">
        <v>126</v>
      </c>
      <c r="H7" s="3">
        <v>25</v>
      </c>
      <c r="I7" s="3">
        <v>126</v>
      </c>
      <c r="J7" s="3" t="s">
        <v>19</v>
      </c>
      <c r="K7" s="3" t="s">
        <v>22</v>
      </c>
      <c r="L7" s="3" t="s">
        <v>23</v>
      </c>
      <c r="N7" s="1">
        <f t="shared" si="1"/>
        <v>0.87931034482758619</v>
      </c>
      <c r="O7" s="1">
        <f t="shared" si="2"/>
        <v>0.79047619047619044</v>
      </c>
      <c r="P7" s="1">
        <f t="shared" si="3"/>
        <v>0.25</v>
      </c>
      <c r="Q7" s="1">
        <f t="shared" si="4"/>
        <v>0.42105263157894735</v>
      </c>
      <c r="R7" s="1">
        <f t="shared" si="5"/>
        <v>0.66463414634146345</v>
      </c>
      <c r="S7" s="1">
        <f t="shared" si="6"/>
        <v>0.375</v>
      </c>
      <c r="T7" s="1">
        <f t="shared" si="7"/>
        <v>3.3804733132241873</v>
      </c>
      <c r="V7" s="1">
        <f>Sheet4!AB7^2</f>
        <v>4.6767492843563706E-2</v>
      </c>
      <c r="W7" s="1">
        <f>Sheet4!AC7^2</f>
        <v>0.61425163027404506</v>
      </c>
      <c r="X7" s="1">
        <f t="shared" si="8"/>
        <v>3.6478644417979691</v>
      </c>
      <c r="Y7" s="1">
        <f t="shared" si="9"/>
        <v>47.911627161375513</v>
      </c>
      <c r="Z7" s="1">
        <f t="shared" si="10"/>
        <v>35282.174467677251</v>
      </c>
      <c r="AA7" s="1">
        <f t="shared" si="11"/>
        <v>35044.963594587251</v>
      </c>
      <c r="AB7" s="1">
        <f t="shared" si="12"/>
        <v>0.49831351822620751</v>
      </c>
      <c r="AC7" s="1">
        <f t="shared" si="13"/>
        <v>0.50168648177379249</v>
      </c>
      <c r="AD7" s="1">
        <f>ABS(AB7 - Sheet4!AB7)</f>
        <v>0.28205558694144817</v>
      </c>
      <c r="AF7" s="15">
        <f t="shared" si="14"/>
        <v>2</v>
      </c>
      <c r="AG7" s="15">
        <f t="shared" si="15"/>
        <v>1</v>
      </c>
      <c r="AJ7" s="13" t="s">
        <v>41</v>
      </c>
      <c r="AK7" s="13" t="s">
        <v>42</v>
      </c>
      <c r="AL7" s="13" t="s">
        <v>43</v>
      </c>
      <c r="AM7" s="13" t="s">
        <v>45</v>
      </c>
      <c r="AN7" s="11"/>
    </row>
    <row r="8" spans="1:40" ht="27.6" x14ac:dyDescent="0.3">
      <c r="A8" s="2">
        <v>202207</v>
      </c>
      <c r="B8" s="6">
        <v>44744</v>
      </c>
      <c r="C8" s="3">
        <v>81</v>
      </c>
      <c r="D8" s="3">
        <v>137</v>
      </c>
      <c r="E8" s="3">
        <v>47</v>
      </c>
      <c r="F8" s="3">
        <v>18</v>
      </c>
      <c r="G8" s="3">
        <v>106</v>
      </c>
      <c r="H8" s="3">
        <v>29</v>
      </c>
      <c r="I8" s="3">
        <v>137</v>
      </c>
      <c r="J8" s="3" t="s">
        <v>19</v>
      </c>
      <c r="K8" s="3" t="s">
        <v>22</v>
      </c>
      <c r="L8" s="3" t="s">
        <v>21</v>
      </c>
      <c r="N8" s="1">
        <f t="shared" si="1"/>
        <v>0.93103448275862066</v>
      </c>
      <c r="O8" s="1">
        <f t="shared" si="2"/>
        <v>0.89523809523809528</v>
      </c>
      <c r="P8" s="1">
        <f t="shared" si="3"/>
        <v>0.16666666666666666</v>
      </c>
      <c r="Q8" s="1">
        <f t="shared" si="4"/>
        <v>0.47368421052631576</v>
      </c>
      <c r="R8" s="1">
        <f t="shared" si="5"/>
        <v>0.54268292682926833</v>
      </c>
      <c r="S8" s="1">
        <f t="shared" si="6"/>
        <v>0.5</v>
      </c>
      <c r="T8" s="1">
        <f t="shared" si="7"/>
        <v>3.5093063820189672</v>
      </c>
      <c r="V8" s="1">
        <f>Sheet4!AB8^2</f>
        <v>4.0383519733374125E-2</v>
      </c>
      <c r="W8" s="1">
        <f>Sheet4!AC8^2</f>
        <v>0.63847049564296665</v>
      </c>
      <c r="X8" s="1">
        <f t="shared" si="8"/>
        <v>3.2710650984033043</v>
      </c>
      <c r="Y8" s="1">
        <f t="shared" si="9"/>
        <v>51.7161101470803</v>
      </c>
      <c r="Z8" s="1">
        <f t="shared" si="10"/>
        <v>33806.185225793495</v>
      </c>
      <c r="AA8" s="1">
        <f t="shared" si="11"/>
        <v>33514.912506078646</v>
      </c>
      <c r="AB8" s="1">
        <f t="shared" si="12"/>
        <v>0.49783669065472663</v>
      </c>
      <c r="AC8" s="1">
        <f t="shared" si="13"/>
        <v>0.50216330934527331</v>
      </c>
      <c r="AD8" s="1">
        <f>ABS(AB8 - Sheet4!AB8)</f>
        <v>0.29688017860952287</v>
      </c>
      <c r="AF8" s="15">
        <f t="shared" si="14"/>
        <v>2</v>
      </c>
      <c r="AG8" s="15">
        <f t="shared" si="15"/>
        <v>1</v>
      </c>
      <c r="AJ8" s="13">
        <v>98</v>
      </c>
      <c r="AK8" s="13">
        <v>82</v>
      </c>
      <c r="AL8" s="13" t="s">
        <v>44</v>
      </c>
      <c r="AM8" s="13" t="s">
        <v>46</v>
      </c>
    </row>
    <row r="9" spans="1:40" ht="27.6" x14ac:dyDescent="0.3">
      <c r="A9" s="2">
        <v>202208</v>
      </c>
      <c r="B9" s="6">
        <v>44774</v>
      </c>
      <c r="C9" s="3">
        <v>68</v>
      </c>
      <c r="D9" s="3">
        <v>109</v>
      </c>
      <c r="E9" s="3">
        <v>50</v>
      </c>
      <c r="F9" s="3">
        <v>12</v>
      </c>
      <c r="G9" s="3">
        <v>91</v>
      </c>
      <c r="H9" s="3">
        <v>19</v>
      </c>
      <c r="I9" s="3">
        <v>109</v>
      </c>
      <c r="J9" s="3" t="s">
        <v>19</v>
      </c>
      <c r="K9" s="3" t="s">
        <v>22</v>
      </c>
      <c r="L9" s="3" t="s">
        <v>21</v>
      </c>
      <c r="N9" s="1">
        <f t="shared" si="1"/>
        <v>0.7068965517241379</v>
      </c>
      <c r="O9" s="1">
        <f t="shared" si="2"/>
        <v>0.62857142857142856</v>
      </c>
      <c r="P9" s="1">
        <f t="shared" si="3"/>
        <v>0.41666666666666669</v>
      </c>
      <c r="Q9" s="1">
        <f t="shared" si="4"/>
        <v>0.15789473684210525</v>
      </c>
      <c r="R9" s="1">
        <f t="shared" si="5"/>
        <v>0.45121951219512196</v>
      </c>
      <c r="S9" s="1">
        <f t="shared" si="6"/>
        <v>0.1875</v>
      </c>
      <c r="T9" s="1">
        <f t="shared" si="7"/>
        <v>2.5487488959994606</v>
      </c>
      <c r="V9" s="1">
        <f>Sheet4!AB9^2</f>
        <v>3.0642959400984876E-3</v>
      </c>
      <c r="W9" s="1">
        <f>Sheet4!AC9^2</f>
        <v>0.89235212966920507</v>
      </c>
      <c r="X9" s="1">
        <f t="shared" si="8"/>
        <v>0.20837212392669716</v>
      </c>
      <c r="Y9" s="1">
        <f t="shared" si="9"/>
        <v>60.679944817505948</v>
      </c>
      <c r="Z9" s="1">
        <f t="shared" si="10"/>
        <v>23225.805273956434</v>
      </c>
      <c r="AA9" s="1">
        <f t="shared" si="11"/>
        <v>23168.800556282593</v>
      </c>
      <c r="AB9" s="1">
        <f t="shared" si="12"/>
        <v>0.49938565360505033</v>
      </c>
      <c r="AC9" s="1">
        <f t="shared" si="13"/>
        <v>0.50061434639494973</v>
      </c>
      <c r="AD9" s="1">
        <f>ABS(AB9 - Sheet4!AB9)</f>
        <v>0.44402957046960362</v>
      </c>
      <c r="AF9" s="15">
        <f t="shared" si="14"/>
        <v>2</v>
      </c>
      <c r="AG9" s="15">
        <f t="shared" si="15"/>
        <v>1</v>
      </c>
    </row>
    <row r="10" spans="1:40" ht="27.6" x14ac:dyDescent="0.3">
      <c r="A10" s="2">
        <v>202208</v>
      </c>
      <c r="B10" s="6">
        <v>44804</v>
      </c>
      <c r="C10" s="3">
        <v>85</v>
      </c>
      <c r="D10" s="3">
        <v>148</v>
      </c>
      <c r="E10" s="3">
        <v>51</v>
      </c>
      <c r="F10" s="3">
        <v>25</v>
      </c>
      <c r="G10" s="3">
        <v>74</v>
      </c>
      <c r="H10" s="3">
        <v>37</v>
      </c>
      <c r="I10" s="3">
        <v>148</v>
      </c>
      <c r="J10" s="3" t="s">
        <v>19</v>
      </c>
      <c r="K10" s="3" t="s">
        <v>22</v>
      </c>
      <c r="L10" s="3" t="s">
        <v>21</v>
      </c>
      <c r="N10" s="1">
        <f t="shared" si="1"/>
        <v>1</v>
      </c>
      <c r="O10" s="1">
        <f t="shared" si="2"/>
        <v>1</v>
      </c>
      <c r="P10" s="1">
        <f t="shared" si="3"/>
        <v>0.5</v>
      </c>
      <c r="Q10" s="1">
        <f t="shared" si="4"/>
        <v>0.84210526315789469</v>
      </c>
      <c r="R10" s="1">
        <f t="shared" si="5"/>
        <v>0.34756097560975607</v>
      </c>
      <c r="S10" s="1">
        <f t="shared" si="6"/>
        <v>0.75</v>
      </c>
      <c r="T10" s="1">
        <f t="shared" si="7"/>
        <v>4.4396662387676509</v>
      </c>
      <c r="V10" s="1">
        <f>Sheet4!AB10^2</f>
        <v>0.12332622361898671</v>
      </c>
      <c r="W10" s="1">
        <f>Sheet4!AC10^2</f>
        <v>0.42096955178056322</v>
      </c>
      <c r="X10" s="1">
        <f t="shared" si="8"/>
        <v>10.482729007613869</v>
      </c>
      <c r="Y10" s="1">
        <f t="shared" si="9"/>
        <v>35.782411901347871</v>
      </c>
      <c r="Z10" s="1">
        <f t="shared" si="10"/>
        <v>32583.532903281823</v>
      </c>
      <c r="AA10" s="1">
        <f t="shared" si="11"/>
        <v>32220.177721400509</v>
      </c>
      <c r="AB10" s="1">
        <f t="shared" si="12"/>
        <v>0.49719649400953503</v>
      </c>
      <c r="AC10" s="1">
        <f t="shared" si="13"/>
        <v>0.50280350599046497</v>
      </c>
      <c r="AD10" s="1">
        <f>ABS(AB10 - Sheet4!AB10)</f>
        <v>0.14601815809032331</v>
      </c>
      <c r="AF10" s="15">
        <f t="shared" si="14"/>
        <v>2</v>
      </c>
      <c r="AG10" s="15">
        <f t="shared" si="15"/>
        <v>1</v>
      </c>
    </row>
    <row r="11" spans="1:40" x14ac:dyDescent="0.3">
      <c r="A11" s="2">
        <v>202208</v>
      </c>
      <c r="B11" s="6">
        <v>44803</v>
      </c>
      <c r="C11" s="3">
        <v>59</v>
      </c>
      <c r="D11" s="3">
        <v>84</v>
      </c>
      <c r="E11" s="3">
        <v>50</v>
      </c>
      <c r="F11" s="3">
        <v>15</v>
      </c>
      <c r="G11" s="3">
        <v>56</v>
      </c>
      <c r="H11" s="3">
        <v>29</v>
      </c>
      <c r="I11" s="3">
        <v>84</v>
      </c>
      <c r="J11" s="3" t="s">
        <v>19</v>
      </c>
      <c r="K11" s="3" t="s">
        <v>20</v>
      </c>
      <c r="L11" s="3" t="s">
        <v>21</v>
      </c>
      <c r="N11" s="1">
        <f t="shared" si="1"/>
        <v>0.55172413793103448</v>
      </c>
      <c r="O11" s="1">
        <f t="shared" si="2"/>
        <v>0.39047619047619048</v>
      </c>
      <c r="P11" s="1">
        <f t="shared" si="3"/>
        <v>0.41666666666666669</v>
      </c>
      <c r="Q11" s="1">
        <f t="shared" si="4"/>
        <v>0.31578947368421051</v>
      </c>
      <c r="R11" s="1">
        <f t="shared" si="5"/>
        <v>0.23780487804878048</v>
      </c>
      <c r="S11" s="1">
        <f t="shared" si="6"/>
        <v>0.5</v>
      </c>
      <c r="T11" s="1">
        <f t="shared" si="7"/>
        <v>2.4124613468068827</v>
      </c>
      <c r="V11" s="1">
        <f>Sheet4!AB11^2</f>
        <v>0.88833634700372899</v>
      </c>
      <c r="W11" s="1">
        <f>Sheet4!AC11^2</f>
        <v>3.3044141137537932E-3</v>
      </c>
      <c r="X11" s="1">
        <f t="shared" si="8"/>
        <v>52.411844473220008</v>
      </c>
      <c r="Y11" s="1">
        <f t="shared" si="9"/>
        <v>0.19496043271147379</v>
      </c>
      <c r="Z11" s="1">
        <f t="shared" si="10"/>
        <v>13759.7729996077</v>
      </c>
      <c r="AA11" s="1">
        <f t="shared" si="11"/>
        <v>13864.953821808404</v>
      </c>
      <c r="AB11" s="1">
        <f t="shared" si="12"/>
        <v>0.50190374411447869</v>
      </c>
      <c r="AC11" s="1">
        <f t="shared" si="13"/>
        <v>0.49809625588552131</v>
      </c>
      <c r="AD11" s="1">
        <f>ABS(AB11 - Sheet4!AB11)</f>
        <v>0.4406122223305089</v>
      </c>
      <c r="AF11" s="15">
        <f t="shared" si="14"/>
        <v>1</v>
      </c>
      <c r="AG11" s="15">
        <f t="shared" si="15"/>
        <v>1</v>
      </c>
    </row>
    <row r="12" spans="1:40" x14ac:dyDescent="0.3">
      <c r="A12" s="2">
        <v>202208</v>
      </c>
      <c r="B12" s="6">
        <v>44802</v>
      </c>
      <c r="C12" s="3">
        <v>58</v>
      </c>
      <c r="D12" s="3">
        <v>82</v>
      </c>
      <c r="E12" s="3">
        <v>49</v>
      </c>
      <c r="F12" s="3">
        <v>16</v>
      </c>
      <c r="G12" s="3">
        <v>55</v>
      </c>
      <c r="H12" s="3">
        <v>29</v>
      </c>
      <c r="I12" s="3">
        <v>82</v>
      </c>
      <c r="J12" s="3" t="s">
        <v>19</v>
      </c>
      <c r="K12" s="3" t="s">
        <v>20</v>
      </c>
      <c r="L12" s="3" t="s">
        <v>21</v>
      </c>
      <c r="N12" s="1">
        <f t="shared" si="1"/>
        <v>0.53448275862068961</v>
      </c>
      <c r="O12" s="1">
        <f t="shared" si="2"/>
        <v>0.37142857142857144</v>
      </c>
      <c r="P12" s="1">
        <f t="shared" si="3"/>
        <v>0.33333333333333331</v>
      </c>
      <c r="Q12" s="1">
        <f t="shared" si="4"/>
        <v>0.36842105263157893</v>
      </c>
      <c r="R12" s="1">
        <f t="shared" si="5"/>
        <v>0.23170731707317074</v>
      </c>
      <c r="S12" s="1">
        <f t="shared" si="6"/>
        <v>0.5</v>
      </c>
      <c r="T12" s="1">
        <f t="shared" si="7"/>
        <v>2.3393730330873441</v>
      </c>
      <c r="V12" s="1">
        <f>Sheet4!AB12^2</f>
        <v>0.85611349661735148</v>
      </c>
      <c r="W12" s="1">
        <f>Sheet4!AC12^2</f>
        <v>5.5854675214920598E-3</v>
      </c>
      <c r="X12" s="1">
        <f t="shared" si="8"/>
        <v>49.654582803806385</v>
      </c>
      <c r="Y12" s="1">
        <f t="shared" si="9"/>
        <v>0.32395711624653944</v>
      </c>
      <c r="Z12" s="1">
        <f t="shared" si="10"/>
        <v>13252.436080235617</v>
      </c>
      <c r="AA12" s="1">
        <f t="shared" si="11"/>
        <v>13375.637517977939</v>
      </c>
      <c r="AB12" s="1">
        <f t="shared" si="12"/>
        <v>0.5023133749666101</v>
      </c>
      <c r="AC12" s="1">
        <f t="shared" si="13"/>
        <v>0.4976866250333899</v>
      </c>
      <c r="AD12" s="1">
        <f>ABS(AB12 - Sheet4!AB12)</f>
        <v>0.42295063958131962</v>
      </c>
      <c r="AF12" s="15">
        <f t="shared" si="14"/>
        <v>1</v>
      </c>
      <c r="AG12" s="15">
        <f t="shared" si="15"/>
        <v>1</v>
      </c>
    </row>
    <row r="13" spans="1:40" x14ac:dyDescent="0.3">
      <c r="A13" s="2">
        <v>202208</v>
      </c>
      <c r="B13" s="6">
        <v>44801</v>
      </c>
      <c r="C13" s="3">
        <v>64</v>
      </c>
      <c r="D13" s="3">
        <v>85</v>
      </c>
      <c r="E13" s="3">
        <v>49</v>
      </c>
      <c r="F13" s="3">
        <v>17</v>
      </c>
      <c r="G13" s="3">
        <v>56</v>
      </c>
      <c r="H13" s="3">
        <v>30</v>
      </c>
      <c r="I13" s="3">
        <v>85</v>
      </c>
      <c r="J13" s="3" t="s">
        <v>19</v>
      </c>
      <c r="K13" s="3" t="s">
        <v>20</v>
      </c>
      <c r="L13" s="3" t="s">
        <v>24</v>
      </c>
      <c r="N13" s="1">
        <f t="shared" si="1"/>
        <v>0.63793103448275867</v>
      </c>
      <c r="O13" s="1">
        <f t="shared" si="2"/>
        <v>0.4</v>
      </c>
      <c r="P13" s="1">
        <f t="shared" si="3"/>
        <v>0.33333333333333331</v>
      </c>
      <c r="Q13" s="1">
        <f t="shared" si="4"/>
        <v>0.42105263157894735</v>
      </c>
      <c r="R13" s="1">
        <f t="shared" si="5"/>
        <v>0.23780487804878048</v>
      </c>
      <c r="S13" s="1">
        <f t="shared" si="6"/>
        <v>0.53125</v>
      </c>
      <c r="T13" s="1">
        <f t="shared" si="7"/>
        <v>2.5613718774438201</v>
      </c>
      <c r="V13" s="1">
        <f>Sheet4!AB13^2</f>
        <v>0.90809670188496394</v>
      </c>
      <c r="W13" s="1">
        <f>Sheet4!AC13^2</f>
        <v>2.2145419548554152E-3</v>
      </c>
      <c r="X13" s="1">
        <f t="shared" si="8"/>
        <v>58.118188920637692</v>
      </c>
      <c r="Y13" s="1">
        <f t="shared" si="9"/>
        <v>0.14173068511074657</v>
      </c>
      <c r="Z13" s="1">
        <f t="shared" si="10"/>
        <v>13964.457596468106</v>
      </c>
      <c r="AA13" s="1">
        <f t="shared" si="11"/>
        <v>13979.535340960731</v>
      </c>
      <c r="AB13" s="1">
        <f t="shared" si="12"/>
        <v>0.50026978507556863</v>
      </c>
      <c r="AC13" s="1">
        <f t="shared" si="13"/>
        <v>0.49973021492443137</v>
      </c>
      <c r="AD13" s="1">
        <f>ABS(AB13 - Sheet4!AB13)</f>
        <v>0.45267129488948565</v>
      </c>
      <c r="AF13" s="15">
        <f t="shared" si="14"/>
        <v>1</v>
      </c>
      <c r="AG13" s="15">
        <f t="shared" si="15"/>
        <v>1</v>
      </c>
    </row>
    <row r="14" spans="1:40" ht="27.6" x14ac:dyDescent="0.3">
      <c r="A14" s="2">
        <v>202208</v>
      </c>
      <c r="B14" s="6">
        <v>44800</v>
      </c>
      <c r="C14" s="3">
        <v>80</v>
      </c>
      <c r="D14" s="3">
        <v>130</v>
      </c>
      <c r="E14" s="3">
        <v>50</v>
      </c>
      <c r="F14" s="3">
        <v>25</v>
      </c>
      <c r="G14" s="3">
        <v>57</v>
      </c>
      <c r="H14" s="3">
        <v>37</v>
      </c>
      <c r="I14" s="3">
        <v>130</v>
      </c>
      <c r="J14" s="3" t="s">
        <v>19</v>
      </c>
      <c r="K14" s="3" t="s">
        <v>22</v>
      </c>
      <c r="L14" s="3" t="s">
        <v>21</v>
      </c>
      <c r="N14" s="1">
        <f t="shared" si="1"/>
        <v>0.91379310344827591</v>
      </c>
      <c r="O14" s="1">
        <f t="shared" si="2"/>
        <v>0.82857142857142863</v>
      </c>
      <c r="P14" s="1">
        <f t="shared" si="3"/>
        <v>0.41666666666666669</v>
      </c>
      <c r="Q14" s="1">
        <f t="shared" si="4"/>
        <v>0.84210526315789469</v>
      </c>
      <c r="R14" s="1">
        <f t="shared" si="5"/>
        <v>0.24390243902439024</v>
      </c>
      <c r="S14" s="1">
        <f t="shared" si="6"/>
        <v>0.75</v>
      </c>
      <c r="T14" s="1">
        <f t="shared" si="7"/>
        <v>3.9950389008686562</v>
      </c>
      <c r="V14" s="1">
        <f>Sheet4!AB14^2</f>
        <v>0.24281345406372157</v>
      </c>
      <c r="W14" s="1">
        <f>Sheet4!AC14^2</f>
        <v>0.25729135068151615</v>
      </c>
      <c r="X14" s="1">
        <f t="shared" si="8"/>
        <v>19.425076325097727</v>
      </c>
      <c r="Y14" s="1">
        <f t="shared" si="9"/>
        <v>20.583308054521293</v>
      </c>
      <c r="Z14" s="1">
        <f t="shared" si="10"/>
        <v>25029.848306421412</v>
      </c>
      <c r="AA14" s="1">
        <f t="shared" si="11"/>
        <v>24756.59620224818</v>
      </c>
      <c r="AB14" s="1">
        <f t="shared" si="12"/>
        <v>0.49725575799929189</v>
      </c>
      <c r="AC14" s="1">
        <f t="shared" si="13"/>
        <v>0.50274424200070811</v>
      </c>
      <c r="AD14" s="1">
        <f>ABS(AB14 - Sheet4!AB14)</f>
        <v>4.4947063081892114E-3</v>
      </c>
      <c r="AF14" s="15">
        <f t="shared" si="14"/>
        <v>2</v>
      </c>
      <c r="AG14" s="15">
        <f t="shared" si="15"/>
        <v>1</v>
      </c>
    </row>
    <row r="15" spans="1:40" ht="27.6" x14ac:dyDescent="0.3">
      <c r="A15" s="2">
        <v>202208</v>
      </c>
      <c r="B15" s="6">
        <v>44799</v>
      </c>
      <c r="C15" s="3">
        <v>76</v>
      </c>
      <c r="D15" s="3">
        <v>119</v>
      </c>
      <c r="E15" s="3">
        <v>53</v>
      </c>
      <c r="F15" s="3">
        <v>19</v>
      </c>
      <c r="G15" s="3">
        <v>53</v>
      </c>
      <c r="H15" s="3">
        <v>31</v>
      </c>
      <c r="I15" s="3">
        <v>119</v>
      </c>
      <c r="J15" s="3" t="s">
        <v>19</v>
      </c>
      <c r="K15" s="3" t="s">
        <v>22</v>
      </c>
      <c r="L15" s="3" t="s">
        <v>21</v>
      </c>
      <c r="N15" s="1">
        <f t="shared" si="1"/>
        <v>0.84482758620689657</v>
      </c>
      <c r="O15" s="1">
        <f t="shared" si="2"/>
        <v>0.72380952380952379</v>
      </c>
      <c r="P15" s="1">
        <f t="shared" si="3"/>
        <v>0.66666666666666663</v>
      </c>
      <c r="Q15" s="1">
        <f t="shared" si="4"/>
        <v>0.52631578947368418</v>
      </c>
      <c r="R15" s="1">
        <f t="shared" si="5"/>
        <v>0.21951219512195122</v>
      </c>
      <c r="S15" s="1">
        <f t="shared" si="6"/>
        <v>0.5625</v>
      </c>
      <c r="T15" s="1">
        <f t="shared" si="7"/>
        <v>3.5436317612787223</v>
      </c>
      <c r="V15" s="1">
        <f>Sheet4!AB15^2</f>
        <v>0.40109284213113933</v>
      </c>
      <c r="W15" s="1">
        <f>Sheet4!AC15^2</f>
        <v>0.13445502155078207</v>
      </c>
      <c r="X15" s="1">
        <f t="shared" si="8"/>
        <v>30.483056001966588</v>
      </c>
      <c r="Y15" s="1">
        <f t="shared" si="9"/>
        <v>10.218581637859437</v>
      </c>
      <c r="Z15" s="1">
        <f t="shared" si="10"/>
        <v>21346.500628933085</v>
      </c>
      <c r="AA15" s="1">
        <f t="shared" si="11"/>
        <v>21145.330986926318</v>
      </c>
      <c r="AB15" s="1">
        <f t="shared" si="12"/>
        <v>0.49763284336828062</v>
      </c>
      <c r="AC15" s="1">
        <f t="shared" si="13"/>
        <v>0.50236715663171938</v>
      </c>
      <c r="AD15" s="1">
        <f>ABS(AB15 - Sheet4!AB15)</f>
        <v>0.135686066921898</v>
      </c>
      <c r="AF15" s="15">
        <f t="shared" si="14"/>
        <v>2</v>
      </c>
      <c r="AG15" s="15">
        <f t="shared" si="15"/>
        <v>1</v>
      </c>
    </row>
    <row r="16" spans="1:40" x14ac:dyDescent="0.3">
      <c r="A16" s="2">
        <v>202208</v>
      </c>
      <c r="B16" s="6">
        <v>44798</v>
      </c>
      <c r="C16" s="3">
        <v>64</v>
      </c>
      <c r="D16" s="3">
        <v>98</v>
      </c>
      <c r="E16" s="3">
        <v>50</v>
      </c>
      <c r="F16" s="3">
        <v>12</v>
      </c>
      <c r="G16" s="3">
        <v>66</v>
      </c>
      <c r="H16" s="3">
        <v>19</v>
      </c>
      <c r="I16" s="3">
        <v>98</v>
      </c>
      <c r="J16" s="3" t="s">
        <v>19</v>
      </c>
      <c r="K16" s="3" t="s">
        <v>20</v>
      </c>
      <c r="L16" s="3" t="s">
        <v>21</v>
      </c>
      <c r="N16" s="1">
        <f t="shared" si="1"/>
        <v>0.63793103448275867</v>
      </c>
      <c r="O16" s="1">
        <f t="shared" si="2"/>
        <v>0.52380952380952384</v>
      </c>
      <c r="P16" s="1">
        <f t="shared" si="3"/>
        <v>0.41666666666666669</v>
      </c>
      <c r="Q16" s="1">
        <f t="shared" si="4"/>
        <v>0.15789473684210525</v>
      </c>
      <c r="R16" s="1">
        <f t="shared" si="5"/>
        <v>0.29878048780487804</v>
      </c>
      <c r="S16" s="1">
        <f t="shared" si="6"/>
        <v>0.1875</v>
      </c>
      <c r="T16" s="1">
        <f t="shared" si="7"/>
        <v>2.2225824496059325</v>
      </c>
      <c r="V16" s="1">
        <f>Sheet4!AB16^2</f>
        <v>0.65152612443454649</v>
      </c>
      <c r="W16" s="1">
        <f>Sheet4!AC16^2</f>
        <v>3.7182760172102473E-2</v>
      </c>
      <c r="X16" s="1">
        <f t="shared" si="8"/>
        <v>41.697671963810976</v>
      </c>
      <c r="Y16" s="1">
        <f t="shared" si="9"/>
        <v>2.3796966510145583</v>
      </c>
      <c r="Z16" s="1">
        <f t="shared" si="10"/>
        <v>16978.457596468106</v>
      </c>
      <c r="AA16" s="1">
        <f t="shared" si="11"/>
        <v>16993.535340960731</v>
      </c>
      <c r="AB16" s="1">
        <f t="shared" si="12"/>
        <v>0.50022191433573526</v>
      </c>
      <c r="AC16" s="1">
        <f t="shared" si="13"/>
        <v>0.49977808566426474</v>
      </c>
      <c r="AD16" s="1">
        <f>ABS(AB16 - Sheet4!AB16)</f>
        <v>0.30694976779548677</v>
      </c>
      <c r="AF16" s="15">
        <f t="shared" si="14"/>
        <v>1</v>
      </c>
      <c r="AG16" s="15">
        <f t="shared" si="15"/>
        <v>1</v>
      </c>
    </row>
    <row r="17" spans="1:33" ht="27.6" x14ac:dyDescent="0.3">
      <c r="A17" s="2">
        <v>202208</v>
      </c>
      <c r="B17" s="6">
        <v>44797</v>
      </c>
      <c r="C17" s="3">
        <v>71</v>
      </c>
      <c r="D17" s="3">
        <v>119</v>
      </c>
      <c r="E17" s="3">
        <v>50</v>
      </c>
      <c r="F17" s="3">
        <v>15</v>
      </c>
      <c r="G17" s="3">
        <v>82</v>
      </c>
      <c r="H17" s="3">
        <v>20</v>
      </c>
      <c r="I17" s="3">
        <v>119</v>
      </c>
      <c r="J17" s="3" t="s">
        <v>19</v>
      </c>
      <c r="K17" s="3" t="s">
        <v>22</v>
      </c>
      <c r="L17" s="3" t="s">
        <v>21</v>
      </c>
      <c r="N17" s="1">
        <f t="shared" si="1"/>
        <v>0.75862068965517238</v>
      </c>
      <c r="O17" s="1">
        <f t="shared" si="2"/>
        <v>0.72380952380952379</v>
      </c>
      <c r="P17" s="1">
        <f t="shared" si="3"/>
        <v>0.41666666666666669</v>
      </c>
      <c r="Q17" s="1">
        <f t="shared" si="4"/>
        <v>0.31578947368421051</v>
      </c>
      <c r="R17" s="1">
        <f t="shared" si="5"/>
        <v>0.39634146341463417</v>
      </c>
      <c r="S17" s="1">
        <f t="shared" si="6"/>
        <v>0.21875</v>
      </c>
      <c r="T17" s="1">
        <f t="shared" si="7"/>
        <v>2.8299778172302075</v>
      </c>
      <c r="V17" s="1">
        <f>Sheet4!AB17^2</f>
        <v>1.4629269414551541E-2</v>
      </c>
      <c r="W17" s="1">
        <f>Sheet4!AC17^2</f>
        <v>0.77272623582835176</v>
      </c>
      <c r="X17" s="1">
        <f t="shared" si="8"/>
        <v>1.0386781284331594</v>
      </c>
      <c r="Y17" s="1">
        <f t="shared" si="9"/>
        <v>54.863562743812977</v>
      </c>
      <c r="Z17" s="1">
        <f t="shared" si="10"/>
        <v>24123.816032072678</v>
      </c>
      <c r="AA17" s="1">
        <f t="shared" si="11"/>
        <v>24012.749467773989</v>
      </c>
      <c r="AB17" s="1">
        <f t="shared" si="12"/>
        <v>0.49884633891984836</v>
      </c>
      <c r="AC17" s="1">
        <f t="shared" si="13"/>
        <v>0.50115366108015169</v>
      </c>
      <c r="AD17" s="1">
        <f>ABS(AB17 - Sheet4!AB17)</f>
        <v>0.37789482212674841</v>
      </c>
      <c r="AF17" s="15">
        <f t="shared" si="14"/>
        <v>2</v>
      </c>
      <c r="AG17" s="15">
        <f t="shared" si="15"/>
        <v>1</v>
      </c>
    </row>
    <row r="18" spans="1:33" ht="27.6" x14ac:dyDescent="0.3">
      <c r="A18" s="2">
        <v>202208</v>
      </c>
      <c r="B18" s="6">
        <v>44796</v>
      </c>
      <c r="C18" s="3">
        <v>76</v>
      </c>
      <c r="D18" s="3">
        <v>116</v>
      </c>
      <c r="E18" s="3">
        <v>49</v>
      </c>
      <c r="F18" s="3">
        <v>17</v>
      </c>
      <c r="G18" s="3">
        <v>81</v>
      </c>
      <c r="H18" s="3">
        <v>27</v>
      </c>
      <c r="I18" s="3">
        <v>116</v>
      </c>
      <c r="J18" s="3" t="s">
        <v>19</v>
      </c>
      <c r="K18" s="3" t="s">
        <v>22</v>
      </c>
      <c r="L18" s="3" t="s">
        <v>21</v>
      </c>
      <c r="N18" s="1">
        <f t="shared" si="1"/>
        <v>0.84482758620689657</v>
      </c>
      <c r="O18" s="1">
        <f t="shared" si="2"/>
        <v>0.69523809523809521</v>
      </c>
      <c r="P18" s="1">
        <f t="shared" si="3"/>
        <v>0.33333333333333331</v>
      </c>
      <c r="Q18" s="1">
        <f t="shared" si="4"/>
        <v>0.42105263157894735</v>
      </c>
      <c r="R18" s="1">
        <f t="shared" si="5"/>
        <v>0.3902439024390244</v>
      </c>
      <c r="S18" s="1">
        <f t="shared" si="6"/>
        <v>0.4375</v>
      </c>
      <c r="T18" s="1">
        <f t="shared" si="7"/>
        <v>3.1221955487962965</v>
      </c>
      <c r="V18" s="1">
        <f>Sheet4!AB18^2</f>
        <v>1.0792749744734547E-2</v>
      </c>
      <c r="W18" s="1">
        <f>Sheet4!AC18^2</f>
        <v>0.80301643016298285</v>
      </c>
      <c r="X18" s="1">
        <f t="shared" si="8"/>
        <v>0.82024898059982565</v>
      </c>
      <c r="Y18" s="1">
        <f t="shared" si="9"/>
        <v>61.029248692386695</v>
      </c>
      <c r="Z18" s="1">
        <f t="shared" ref="Z18:Z66" si="16">(C18-$C$102)^2 + (D18-$D$102)^2 + (E18-$E$102)^2 + (F18-$F$102)^2 + (G18-$G$102)^2 + (H18-$H$102)^2</f>
        <v>23681.500628933085</v>
      </c>
      <c r="AA18" s="1">
        <f t="shared" si="11"/>
        <v>23480.330986926318</v>
      </c>
      <c r="AB18" s="1">
        <f t="shared" si="12"/>
        <v>0.49786724099643409</v>
      </c>
      <c r="AC18" s="1">
        <f t="shared" si="13"/>
        <v>0.50213275900356591</v>
      </c>
      <c r="AD18" s="1">
        <f>ABS(AB18 - Sheet4!AB18)</f>
        <v>0.39397908120555825</v>
      </c>
      <c r="AF18" s="15">
        <f t="shared" si="14"/>
        <v>2</v>
      </c>
      <c r="AG18" s="15">
        <f t="shared" si="15"/>
        <v>1</v>
      </c>
    </row>
    <row r="19" spans="1:33" x14ac:dyDescent="0.3">
      <c r="A19" s="2">
        <v>202208</v>
      </c>
      <c r="B19" s="6">
        <v>44795</v>
      </c>
      <c r="C19" s="3">
        <v>57</v>
      </c>
      <c r="D19" s="3">
        <v>78</v>
      </c>
      <c r="E19" s="3">
        <v>49</v>
      </c>
      <c r="F19" s="3">
        <v>13</v>
      </c>
      <c r="G19" s="3">
        <v>79</v>
      </c>
      <c r="H19" s="3">
        <v>22</v>
      </c>
      <c r="I19" s="3">
        <v>79</v>
      </c>
      <c r="J19" s="3" t="s">
        <v>25</v>
      </c>
      <c r="K19" s="3" t="s">
        <v>20</v>
      </c>
      <c r="L19" s="3" t="s">
        <v>23</v>
      </c>
      <c r="N19" s="1">
        <f t="shared" si="1"/>
        <v>0.51724137931034486</v>
      </c>
      <c r="O19" s="1">
        <f t="shared" si="2"/>
        <v>0.33333333333333331</v>
      </c>
      <c r="P19" s="1">
        <f t="shared" si="3"/>
        <v>0.33333333333333331</v>
      </c>
      <c r="Q19" s="1">
        <f t="shared" si="4"/>
        <v>0.21052631578947367</v>
      </c>
      <c r="R19" s="1">
        <f t="shared" si="5"/>
        <v>0.37804878048780488</v>
      </c>
      <c r="S19" s="1">
        <f t="shared" si="6"/>
        <v>0.28125</v>
      </c>
      <c r="T19" s="1">
        <f t="shared" si="7"/>
        <v>2.0537331422542899</v>
      </c>
      <c r="V19" s="1">
        <f>Sheet4!AB19^2</f>
        <v>0.37549772594636993</v>
      </c>
      <c r="W19" s="1">
        <f>Sheet4!AC19^2</f>
        <v>0.14994034100453063</v>
      </c>
      <c r="X19" s="1">
        <f t="shared" si="8"/>
        <v>21.403370378943087</v>
      </c>
      <c r="Y19" s="1">
        <f t="shared" si="9"/>
        <v>8.5465994372582461</v>
      </c>
      <c r="Z19" s="1">
        <f t="shared" si="16"/>
        <v>15390.099160863534</v>
      </c>
      <c r="AA19" s="1">
        <f t="shared" si="11"/>
        <v>15531.321214147472</v>
      </c>
      <c r="AB19" s="1">
        <f t="shared" si="12"/>
        <v>0.50228356349047376</v>
      </c>
      <c r="AC19" s="1">
        <f t="shared" si="13"/>
        <v>0.49771643650952624</v>
      </c>
      <c r="AD19" s="1">
        <f>ABS(AB19 - Sheet4!AB19)</f>
        <v>0.11049512898044589</v>
      </c>
      <c r="AF19" s="15">
        <f t="shared" si="14"/>
        <v>1</v>
      </c>
      <c r="AG19" s="15">
        <f t="shared" si="15"/>
        <v>1</v>
      </c>
    </row>
    <row r="20" spans="1:33" ht="27.6" x14ac:dyDescent="0.3">
      <c r="A20" s="2">
        <v>202208</v>
      </c>
      <c r="B20" s="6">
        <v>44794</v>
      </c>
      <c r="C20" s="3">
        <v>59</v>
      </c>
      <c r="D20" s="3">
        <v>101</v>
      </c>
      <c r="E20" s="3">
        <v>49</v>
      </c>
      <c r="F20" s="3">
        <v>13</v>
      </c>
      <c r="G20" s="3">
        <v>65</v>
      </c>
      <c r="H20" s="3">
        <v>17</v>
      </c>
      <c r="I20" s="3">
        <v>101</v>
      </c>
      <c r="J20" s="3" t="s">
        <v>19</v>
      </c>
      <c r="K20" s="3" t="s">
        <v>22</v>
      </c>
      <c r="L20" s="3" t="s">
        <v>21</v>
      </c>
      <c r="N20" s="1">
        <f t="shared" si="1"/>
        <v>0.55172413793103448</v>
      </c>
      <c r="O20" s="1">
        <f t="shared" si="2"/>
        <v>0.55238095238095242</v>
      </c>
      <c r="P20" s="1">
        <f t="shared" si="3"/>
        <v>0.33333333333333331</v>
      </c>
      <c r="Q20" s="1">
        <f t="shared" si="4"/>
        <v>0.21052631578947367</v>
      </c>
      <c r="R20" s="1">
        <f t="shared" si="5"/>
        <v>0.29268292682926828</v>
      </c>
      <c r="S20" s="1">
        <f t="shared" si="6"/>
        <v>0.125</v>
      </c>
      <c r="T20" s="1">
        <f t="shared" si="7"/>
        <v>2.0656476662640619</v>
      </c>
      <c r="V20" s="1">
        <f>Sheet4!AB20^2</f>
        <v>0.60897337047775069</v>
      </c>
      <c r="W20" s="1">
        <f>Sheet4!AC20^2</f>
        <v>4.8238453231710866E-2</v>
      </c>
      <c r="X20" s="1">
        <f t="shared" si="8"/>
        <v>35.929428858187293</v>
      </c>
      <c r="Y20" s="1">
        <f t="shared" si="9"/>
        <v>2.8460687406709413</v>
      </c>
      <c r="Z20" s="1">
        <f t="shared" si="16"/>
        <v>17286.772999607696</v>
      </c>
      <c r="AA20" s="1">
        <f t="shared" si="11"/>
        <v>17391.953821808405</v>
      </c>
      <c r="AB20" s="1">
        <f t="shared" si="12"/>
        <v>0.5015165035144219</v>
      </c>
      <c r="AC20" s="1">
        <f t="shared" si="13"/>
        <v>0.4984834964855781</v>
      </c>
      <c r="AD20" s="1">
        <f>ABS(AB20 - Sheet4!AB20)</f>
        <v>0.27885095510859803</v>
      </c>
      <c r="AF20" s="15">
        <f t="shared" si="14"/>
        <v>1</v>
      </c>
      <c r="AG20" s="15">
        <f t="shared" si="15"/>
        <v>0</v>
      </c>
    </row>
    <row r="21" spans="1:33" ht="27.6" x14ac:dyDescent="0.3">
      <c r="A21" s="2">
        <v>202208</v>
      </c>
      <c r="B21" s="6">
        <v>44793</v>
      </c>
      <c r="C21" s="3">
        <v>76</v>
      </c>
      <c r="D21" s="3">
        <v>117</v>
      </c>
      <c r="E21" s="3">
        <v>50</v>
      </c>
      <c r="F21" s="3">
        <v>14</v>
      </c>
      <c r="G21" s="3">
        <v>69</v>
      </c>
      <c r="H21" s="3">
        <v>18</v>
      </c>
      <c r="I21" s="3">
        <v>117</v>
      </c>
      <c r="J21" s="3" t="s">
        <v>19</v>
      </c>
      <c r="K21" s="3" t="s">
        <v>22</v>
      </c>
      <c r="L21" s="3" t="s">
        <v>21</v>
      </c>
      <c r="N21" s="1">
        <f t="shared" si="1"/>
        <v>0.84482758620689657</v>
      </c>
      <c r="O21" s="1">
        <f t="shared" si="2"/>
        <v>0.70476190476190481</v>
      </c>
      <c r="P21" s="1">
        <f t="shared" si="3"/>
        <v>0.41666666666666669</v>
      </c>
      <c r="Q21" s="1">
        <f t="shared" si="4"/>
        <v>0.26315789473684209</v>
      </c>
      <c r="R21" s="1">
        <f t="shared" si="5"/>
        <v>0.31707317073170732</v>
      </c>
      <c r="S21" s="1">
        <f t="shared" si="6"/>
        <v>0.15625</v>
      </c>
      <c r="T21" s="1">
        <f t="shared" si="7"/>
        <v>2.7027372231040174</v>
      </c>
      <c r="V21" s="1">
        <f>Sheet4!AB21^2</f>
        <v>0.14393434635004815</v>
      </c>
      <c r="W21" s="1">
        <f>Sheet4!AC21^2</f>
        <v>0.38516074019324947</v>
      </c>
      <c r="X21" s="1">
        <f t="shared" si="8"/>
        <v>10.939010322603659</v>
      </c>
      <c r="Y21" s="1">
        <f t="shared" si="9"/>
        <v>29.27221625468696</v>
      </c>
      <c r="Z21" s="1">
        <f t="shared" si="16"/>
        <v>21715.500628933085</v>
      </c>
      <c r="AA21" s="1">
        <f t="shared" si="11"/>
        <v>21514.330986926318</v>
      </c>
      <c r="AB21" s="1">
        <f t="shared" si="12"/>
        <v>0.4976732543883774</v>
      </c>
      <c r="AC21" s="1">
        <f t="shared" si="13"/>
        <v>0.5023267456116226</v>
      </c>
      <c r="AD21" s="1">
        <f>ABS(AB21 - Sheet4!AB21)</f>
        <v>0.11828645130997806</v>
      </c>
      <c r="AF21" s="15">
        <f t="shared" si="14"/>
        <v>2</v>
      </c>
      <c r="AG21" s="15">
        <f t="shared" si="15"/>
        <v>1</v>
      </c>
    </row>
    <row r="22" spans="1:33" ht="27.6" x14ac:dyDescent="0.3">
      <c r="A22" s="2">
        <v>202208</v>
      </c>
      <c r="B22" s="6">
        <v>44792</v>
      </c>
      <c r="C22" s="3">
        <v>70</v>
      </c>
      <c r="D22" s="3">
        <v>105</v>
      </c>
      <c r="E22" s="3">
        <v>49</v>
      </c>
      <c r="F22" s="3">
        <v>14</v>
      </c>
      <c r="G22" s="3">
        <v>66</v>
      </c>
      <c r="H22" s="3">
        <v>26</v>
      </c>
      <c r="I22" s="3">
        <v>105</v>
      </c>
      <c r="J22" s="3" t="s">
        <v>19</v>
      </c>
      <c r="K22" s="3" t="s">
        <v>22</v>
      </c>
      <c r="L22" s="3" t="s">
        <v>21</v>
      </c>
      <c r="N22" s="1">
        <f t="shared" si="1"/>
        <v>0.74137931034482762</v>
      </c>
      <c r="O22" s="1">
        <f t="shared" si="2"/>
        <v>0.59047619047619049</v>
      </c>
      <c r="P22" s="1">
        <f t="shared" si="3"/>
        <v>0.33333333333333331</v>
      </c>
      <c r="Q22" s="1">
        <f t="shared" si="4"/>
        <v>0.26315789473684209</v>
      </c>
      <c r="R22" s="1">
        <f t="shared" si="5"/>
        <v>0.29878048780487804</v>
      </c>
      <c r="S22" s="1">
        <f t="shared" si="6"/>
        <v>0.40625</v>
      </c>
      <c r="T22" s="1">
        <f t="shared" si="7"/>
        <v>2.6333772166960712</v>
      </c>
      <c r="V22" s="1">
        <f>Sheet4!AB22^2</f>
        <v>0.45613765587013627</v>
      </c>
      <c r="W22" s="1">
        <f>Sheet4!AC22^2</f>
        <v>0.10537837921106216</v>
      </c>
      <c r="X22" s="1">
        <f t="shared" si="8"/>
        <v>31.929635910909539</v>
      </c>
      <c r="Y22" s="1">
        <f t="shared" si="9"/>
        <v>7.3764865447743517</v>
      </c>
      <c r="Z22" s="1">
        <f t="shared" si="16"/>
        <v>18747.479112700596</v>
      </c>
      <c r="AA22" s="1">
        <f t="shared" si="11"/>
        <v>18654.433163943526</v>
      </c>
      <c r="AB22" s="1">
        <f t="shared" si="12"/>
        <v>0.49875613380314815</v>
      </c>
      <c r="AC22" s="1">
        <f t="shared" si="13"/>
        <v>0.50124386619685191</v>
      </c>
      <c r="AD22" s="1">
        <f>ABS(AB22 - Sheet4!AB22)</f>
        <v>0.17662350452638892</v>
      </c>
      <c r="AF22" s="15">
        <f t="shared" si="14"/>
        <v>2</v>
      </c>
      <c r="AG22" s="15">
        <f t="shared" si="15"/>
        <v>1</v>
      </c>
    </row>
    <row r="23" spans="1:33" x14ac:dyDescent="0.3">
      <c r="A23" s="2">
        <v>202208</v>
      </c>
      <c r="B23" s="6">
        <v>44791</v>
      </c>
      <c r="C23" s="3">
        <v>64</v>
      </c>
      <c r="D23" s="3">
        <v>89</v>
      </c>
      <c r="E23" s="3">
        <v>49</v>
      </c>
      <c r="F23" s="3">
        <v>25</v>
      </c>
      <c r="G23" s="3">
        <v>84</v>
      </c>
      <c r="H23" s="3">
        <v>28</v>
      </c>
      <c r="I23" s="3">
        <v>89</v>
      </c>
      <c r="J23" s="3" t="s">
        <v>19</v>
      </c>
      <c r="K23" s="3" t="s">
        <v>20</v>
      </c>
      <c r="L23" s="3" t="s">
        <v>21</v>
      </c>
      <c r="N23" s="1">
        <f t="shared" si="1"/>
        <v>0.63793103448275867</v>
      </c>
      <c r="O23" s="1">
        <f t="shared" si="2"/>
        <v>0.43809523809523809</v>
      </c>
      <c r="P23" s="1">
        <f t="shared" si="3"/>
        <v>0.33333333333333331</v>
      </c>
      <c r="Q23" s="1">
        <f t="shared" si="4"/>
        <v>0.84210526315789469</v>
      </c>
      <c r="R23" s="1">
        <f t="shared" si="5"/>
        <v>0.40853658536585363</v>
      </c>
      <c r="S23" s="1">
        <f t="shared" si="6"/>
        <v>0.46875</v>
      </c>
      <c r="T23" s="1">
        <f t="shared" si="7"/>
        <v>3.1287514544350787</v>
      </c>
      <c r="V23" s="1">
        <f>Sheet4!AB23^2</f>
        <v>0.14899728995406694</v>
      </c>
      <c r="W23" s="1">
        <f>Sheet4!AC23^2</f>
        <v>0.3769939481113857</v>
      </c>
      <c r="X23" s="1">
        <f t="shared" si="8"/>
        <v>9.5358265570602843</v>
      </c>
      <c r="Y23" s="1">
        <f t="shared" si="9"/>
        <v>24.127612679128685</v>
      </c>
      <c r="Z23" s="1">
        <f t="shared" si="16"/>
        <v>18800.457596468106</v>
      </c>
      <c r="AA23" s="1">
        <f t="shared" si="11"/>
        <v>18815.535340960731</v>
      </c>
      <c r="AB23" s="1">
        <f t="shared" si="12"/>
        <v>0.50020041667539794</v>
      </c>
      <c r="AC23" s="1">
        <f t="shared" si="13"/>
        <v>0.49979958332460206</v>
      </c>
      <c r="AD23" s="1">
        <f>ABS(AB23 - Sheet4!AB23)</f>
        <v>0.11419874575405731</v>
      </c>
      <c r="AF23" s="15">
        <f t="shared" si="14"/>
        <v>1</v>
      </c>
      <c r="AG23" s="15">
        <f t="shared" si="15"/>
        <v>1</v>
      </c>
    </row>
    <row r="24" spans="1:33" ht="27.6" x14ac:dyDescent="0.3">
      <c r="A24" s="2">
        <v>202208</v>
      </c>
      <c r="B24" s="6">
        <v>44790</v>
      </c>
      <c r="C24" s="3">
        <v>55</v>
      </c>
      <c r="D24" s="3">
        <v>78</v>
      </c>
      <c r="E24" s="3">
        <v>48</v>
      </c>
      <c r="F24" s="3">
        <v>17</v>
      </c>
      <c r="G24" s="3">
        <v>108</v>
      </c>
      <c r="H24" s="3">
        <v>25</v>
      </c>
      <c r="I24" s="3">
        <v>108</v>
      </c>
      <c r="J24" s="3" t="s">
        <v>25</v>
      </c>
      <c r="K24" s="3" t="s">
        <v>22</v>
      </c>
      <c r="L24" s="3" t="s">
        <v>23</v>
      </c>
      <c r="N24" s="1">
        <f t="shared" si="1"/>
        <v>0.48275862068965519</v>
      </c>
      <c r="O24" s="1">
        <f t="shared" si="2"/>
        <v>0.33333333333333331</v>
      </c>
      <c r="P24" s="1">
        <f t="shared" si="3"/>
        <v>0.25</v>
      </c>
      <c r="Q24" s="1">
        <f t="shared" si="4"/>
        <v>0.42105263157894735</v>
      </c>
      <c r="R24" s="1">
        <f t="shared" si="5"/>
        <v>0.55487804878048785</v>
      </c>
      <c r="S24" s="1">
        <f t="shared" si="6"/>
        <v>0.375</v>
      </c>
      <c r="T24" s="1">
        <f t="shared" si="7"/>
        <v>2.4170226343824237</v>
      </c>
      <c r="V24" s="1">
        <f>Sheet4!AB24^2</f>
        <v>0.11910869276236487</v>
      </c>
      <c r="W24" s="1">
        <f>Sheet4!AC24^2</f>
        <v>0.42886614767443743</v>
      </c>
      <c r="X24" s="1">
        <f t="shared" si="8"/>
        <v>6.5509781019300677</v>
      </c>
      <c r="Y24" s="1">
        <f t="shared" si="9"/>
        <v>23.587638122094059</v>
      </c>
      <c r="Z24" s="1">
        <f t="shared" si="16"/>
        <v>20994.425322119372</v>
      </c>
      <c r="AA24" s="1">
        <f t="shared" si="11"/>
        <v>21171.688606486539</v>
      </c>
      <c r="AB24" s="1">
        <f t="shared" si="12"/>
        <v>0.50210196373167448</v>
      </c>
      <c r="AC24" s="1">
        <f t="shared" si="13"/>
        <v>0.49789803626832552</v>
      </c>
      <c r="AD24" s="1">
        <f>ABS(AB24 - Sheet4!AB24)</f>
        <v>0.1569806911877108</v>
      </c>
      <c r="AF24" s="15">
        <f t="shared" si="14"/>
        <v>1</v>
      </c>
      <c r="AG24" s="15">
        <f t="shared" si="15"/>
        <v>0</v>
      </c>
    </row>
    <row r="25" spans="1:33" ht="27.6" x14ac:dyDescent="0.3">
      <c r="A25" s="2">
        <v>202208</v>
      </c>
      <c r="B25" s="6">
        <v>44789</v>
      </c>
      <c r="C25" s="3">
        <v>61</v>
      </c>
      <c r="D25" s="3">
        <v>89</v>
      </c>
      <c r="E25" s="3">
        <v>51</v>
      </c>
      <c r="F25" s="3">
        <v>15</v>
      </c>
      <c r="G25" s="3">
        <v>181</v>
      </c>
      <c r="H25" s="3">
        <v>33</v>
      </c>
      <c r="I25" s="3">
        <v>181</v>
      </c>
      <c r="J25" s="3" t="s">
        <v>25</v>
      </c>
      <c r="K25" s="3" t="s">
        <v>22</v>
      </c>
      <c r="L25" s="3" t="s">
        <v>23</v>
      </c>
      <c r="N25" s="1">
        <f t="shared" si="1"/>
        <v>0.58620689655172409</v>
      </c>
      <c r="O25" s="1">
        <f t="shared" si="2"/>
        <v>0.43809523809523809</v>
      </c>
      <c r="P25" s="1">
        <f t="shared" si="3"/>
        <v>0.5</v>
      </c>
      <c r="Q25" s="1">
        <f t="shared" si="4"/>
        <v>0.31578947368421051</v>
      </c>
      <c r="R25" s="1">
        <f t="shared" si="5"/>
        <v>1</v>
      </c>
      <c r="S25" s="1">
        <f t="shared" si="6"/>
        <v>0.625</v>
      </c>
      <c r="T25" s="1">
        <f t="shared" si="7"/>
        <v>3.4650916083311727</v>
      </c>
      <c r="V25" s="1">
        <f>Sheet4!AB25^2</f>
        <v>0.1333322431413077</v>
      </c>
      <c r="W25" s="1">
        <f>Sheet4!AC25^2</f>
        <v>0.40303848542101134</v>
      </c>
      <c r="X25" s="1">
        <f t="shared" si="8"/>
        <v>8.1332668316197694</v>
      </c>
      <c r="Y25" s="1">
        <f t="shared" si="9"/>
        <v>24.585347610681691</v>
      </c>
      <c r="Z25" s="1">
        <f t="shared" si="16"/>
        <v>44597.446838351862</v>
      </c>
      <c r="AA25" s="1">
        <f t="shared" si="11"/>
        <v>44666.586429469331</v>
      </c>
      <c r="AB25" s="1">
        <f t="shared" si="12"/>
        <v>0.50038727575142183</v>
      </c>
      <c r="AC25" s="1">
        <f t="shared" si="13"/>
        <v>0.49961272424857817</v>
      </c>
      <c r="AD25" s="1">
        <f>ABS(AB25 - Sheet4!AB25)</f>
        <v>0.13524039689127371</v>
      </c>
      <c r="AF25" s="15">
        <f t="shared" si="14"/>
        <v>1</v>
      </c>
      <c r="AG25" s="15">
        <f t="shared" si="15"/>
        <v>0</v>
      </c>
    </row>
    <row r="26" spans="1:33" x14ac:dyDescent="0.3">
      <c r="A26" s="2">
        <v>202208</v>
      </c>
      <c r="B26" s="6">
        <v>44788</v>
      </c>
      <c r="C26" s="3">
        <v>64</v>
      </c>
      <c r="D26" s="3">
        <v>84</v>
      </c>
      <c r="E26" s="3">
        <v>50</v>
      </c>
      <c r="F26" s="3">
        <v>17</v>
      </c>
      <c r="G26" s="3">
        <v>63</v>
      </c>
      <c r="H26" s="3">
        <v>28</v>
      </c>
      <c r="I26" s="3">
        <v>84</v>
      </c>
      <c r="J26" s="3" t="s">
        <v>19</v>
      </c>
      <c r="K26" s="3" t="s">
        <v>20</v>
      </c>
      <c r="L26" s="3" t="s">
        <v>21</v>
      </c>
      <c r="N26" s="1">
        <f t="shared" si="1"/>
        <v>0.63793103448275867</v>
      </c>
      <c r="O26" s="1">
        <f t="shared" si="2"/>
        <v>0.39047619047619048</v>
      </c>
      <c r="P26" s="1">
        <f t="shared" si="3"/>
        <v>0.41666666666666669</v>
      </c>
      <c r="Q26" s="1">
        <f t="shared" si="4"/>
        <v>0.42105263157894735</v>
      </c>
      <c r="R26" s="1">
        <f t="shared" si="5"/>
        <v>0.28048780487804881</v>
      </c>
      <c r="S26" s="1">
        <f t="shared" si="6"/>
        <v>0.46875</v>
      </c>
      <c r="T26" s="1">
        <f t="shared" si="7"/>
        <v>2.6153643280826122</v>
      </c>
      <c r="V26" s="1">
        <f>Sheet4!AB26^2</f>
        <v>0.82733821959369436</v>
      </c>
      <c r="W26" s="1">
        <f>Sheet4!AC26^2</f>
        <v>8.1755335277181717E-3</v>
      </c>
      <c r="X26" s="1">
        <f t="shared" si="8"/>
        <v>52.949646053996439</v>
      </c>
      <c r="Y26" s="1">
        <f t="shared" si="9"/>
        <v>0.52323414577396299</v>
      </c>
      <c r="Z26" s="1">
        <f t="shared" si="16"/>
        <v>14611.457596468106</v>
      </c>
      <c r="AA26" s="1">
        <f t="shared" si="11"/>
        <v>14626.535340960731</v>
      </c>
      <c r="AB26" s="1">
        <f t="shared" si="12"/>
        <v>0.50025784506694582</v>
      </c>
      <c r="AC26" s="1">
        <f t="shared" si="13"/>
        <v>0.49974215493305418</v>
      </c>
      <c r="AD26" s="1">
        <f>ABS(AB26 - Sheet4!AB26)</f>
        <v>0.40932349796604228</v>
      </c>
      <c r="AF26" s="15">
        <f t="shared" si="14"/>
        <v>1</v>
      </c>
      <c r="AG26" s="15">
        <f t="shared" si="15"/>
        <v>1</v>
      </c>
    </row>
    <row r="27" spans="1:33" x14ac:dyDescent="0.3">
      <c r="A27" s="2">
        <v>202208</v>
      </c>
      <c r="B27" s="6">
        <v>44787</v>
      </c>
      <c r="C27" s="3">
        <v>68</v>
      </c>
      <c r="D27" s="3">
        <v>93</v>
      </c>
      <c r="E27" s="3">
        <v>50</v>
      </c>
      <c r="F27" s="3">
        <v>14</v>
      </c>
      <c r="G27" s="3">
        <v>80</v>
      </c>
      <c r="H27" s="3">
        <v>20</v>
      </c>
      <c r="I27" s="3">
        <v>93</v>
      </c>
      <c r="J27" s="3" t="s">
        <v>19</v>
      </c>
      <c r="K27" s="3" t="s">
        <v>20</v>
      </c>
      <c r="L27" s="3" t="s">
        <v>21</v>
      </c>
      <c r="N27" s="1">
        <f t="shared" si="1"/>
        <v>0.7068965517241379</v>
      </c>
      <c r="O27" s="1">
        <f t="shared" si="2"/>
        <v>0.47619047619047616</v>
      </c>
      <c r="P27" s="1">
        <f t="shared" si="3"/>
        <v>0.41666666666666669</v>
      </c>
      <c r="Q27" s="1">
        <f t="shared" si="4"/>
        <v>0.26315789473684209</v>
      </c>
      <c r="R27" s="1">
        <f t="shared" si="5"/>
        <v>0.38414634146341464</v>
      </c>
      <c r="S27" s="1">
        <f t="shared" si="6"/>
        <v>0.21875</v>
      </c>
      <c r="T27" s="1">
        <f t="shared" si="7"/>
        <v>2.4658079307815375</v>
      </c>
      <c r="V27" s="1">
        <f>Sheet4!AB27^2</f>
        <v>0.15407606638021001</v>
      </c>
      <c r="W27" s="1">
        <f>Sheet4!AC27^2</f>
        <v>0.36902558041077882</v>
      </c>
      <c r="X27" s="1">
        <f t="shared" si="8"/>
        <v>10.477172513854281</v>
      </c>
      <c r="Y27" s="1">
        <f t="shared" si="9"/>
        <v>25.093739467932959</v>
      </c>
      <c r="Z27" s="1">
        <f t="shared" si="16"/>
        <v>18203.805273956434</v>
      </c>
      <c r="AA27" s="1">
        <f t="shared" si="11"/>
        <v>18146.800556282593</v>
      </c>
      <c r="AB27" s="1">
        <f t="shared" si="12"/>
        <v>0.49921590415934114</v>
      </c>
      <c r="AC27" s="1">
        <f t="shared" si="13"/>
        <v>0.50078409584065886</v>
      </c>
      <c r="AD27" s="1">
        <f>ABS(AB27 - Sheet4!AB27)</f>
        <v>0.10669066117462556</v>
      </c>
      <c r="AF27" s="15">
        <f t="shared" si="14"/>
        <v>2</v>
      </c>
      <c r="AG27" s="15">
        <f t="shared" si="15"/>
        <v>0</v>
      </c>
    </row>
    <row r="28" spans="1:33" x14ac:dyDescent="0.3">
      <c r="A28" s="2">
        <v>202208</v>
      </c>
      <c r="B28" s="6">
        <v>44786</v>
      </c>
      <c r="C28" s="3">
        <v>58</v>
      </c>
      <c r="D28" s="3">
        <v>77</v>
      </c>
      <c r="E28" s="3">
        <v>48</v>
      </c>
      <c r="F28" s="3">
        <v>21</v>
      </c>
      <c r="G28" s="3">
        <v>76</v>
      </c>
      <c r="H28" s="3">
        <v>36</v>
      </c>
      <c r="I28" s="3">
        <v>77</v>
      </c>
      <c r="J28" s="3" t="s">
        <v>19</v>
      </c>
      <c r="K28" s="3" t="s">
        <v>20</v>
      </c>
      <c r="L28" s="3" t="s">
        <v>24</v>
      </c>
      <c r="N28" s="1">
        <f t="shared" si="1"/>
        <v>0.53448275862068961</v>
      </c>
      <c r="O28" s="1">
        <f t="shared" si="2"/>
        <v>0.32380952380952382</v>
      </c>
      <c r="P28" s="1">
        <f t="shared" si="3"/>
        <v>0.25</v>
      </c>
      <c r="Q28" s="1">
        <f t="shared" si="4"/>
        <v>0.63157894736842102</v>
      </c>
      <c r="R28" s="1">
        <f t="shared" si="5"/>
        <v>0.3597560975609756</v>
      </c>
      <c r="S28" s="1">
        <f t="shared" si="6"/>
        <v>0.71875</v>
      </c>
      <c r="T28" s="1">
        <f t="shared" si="7"/>
        <v>2.81837732735961</v>
      </c>
      <c r="V28" s="1">
        <f>Sheet4!AB28^2</f>
        <v>0.42415662606279947</v>
      </c>
      <c r="W28" s="1">
        <f>Sheet4!AC28^2</f>
        <v>0.12161046402047174</v>
      </c>
      <c r="X28" s="1">
        <f t="shared" si="8"/>
        <v>24.601084311642371</v>
      </c>
      <c r="Y28" s="1">
        <f t="shared" si="9"/>
        <v>7.0534069131873611</v>
      </c>
      <c r="Z28" s="1">
        <f t="shared" si="16"/>
        <v>15751.436080235617</v>
      </c>
      <c r="AA28" s="1">
        <f t="shared" si="11"/>
        <v>15874.637517977939</v>
      </c>
      <c r="AB28" s="1">
        <f t="shared" si="12"/>
        <v>0.50194778269518225</v>
      </c>
      <c r="AC28" s="1">
        <f t="shared" si="13"/>
        <v>0.49805221730481775</v>
      </c>
      <c r="AD28" s="1">
        <f>ABS(AB28 - Sheet4!AB28)</f>
        <v>0.14932529832598163</v>
      </c>
      <c r="AF28" s="15">
        <f t="shared" si="14"/>
        <v>1</v>
      </c>
      <c r="AG28" s="15">
        <f t="shared" si="15"/>
        <v>1</v>
      </c>
    </row>
    <row r="29" spans="1:33" x14ac:dyDescent="0.3">
      <c r="A29" s="2">
        <v>202208</v>
      </c>
      <c r="B29" s="6">
        <v>44785</v>
      </c>
      <c r="C29" s="3">
        <v>65</v>
      </c>
      <c r="D29" s="3">
        <v>94</v>
      </c>
      <c r="E29" s="3">
        <v>49</v>
      </c>
      <c r="F29" s="3">
        <v>17</v>
      </c>
      <c r="G29" s="3">
        <v>97</v>
      </c>
      <c r="H29" s="3">
        <v>25</v>
      </c>
      <c r="I29" s="3">
        <v>97</v>
      </c>
      <c r="J29" s="3" t="s">
        <v>25</v>
      </c>
      <c r="K29" s="3" t="s">
        <v>20</v>
      </c>
      <c r="L29" s="3" t="s">
        <v>23</v>
      </c>
      <c r="N29" s="1">
        <f t="shared" si="1"/>
        <v>0.65517241379310343</v>
      </c>
      <c r="O29" s="1">
        <f t="shared" si="2"/>
        <v>0.48571428571428571</v>
      </c>
      <c r="P29" s="1">
        <f t="shared" si="3"/>
        <v>0.33333333333333331</v>
      </c>
      <c r="Q29" s="1">
        <f t="shared" si="4"/>
        <v>0.42105263157894735</v>
      </c>
      <c r="R29" s="1">
        <f t="shared" si="5"/>
        <v>0.48780487804878048</v>
      </c>
      <c r="S29" s="1">
        <f t="shared" si="6"/>
        <v>0.375</v>
      </c>
      <c r="T29" s="1">
        <f t="shared" si="7"/>
        <v>2.7580775424684503</v>
      </c>
      <c r="V29" s="1">
        <f>Sheet4!AB29^2</f>
        <v>2.6605065658503405E-2</v>
      </c>
      <c r="W29" s="1">
        <f>Sheet4!AC29^2</f>
        <v>0.70038387898600407</v>
      </c>
      <c r="X29" s="1">
        <f t="shared" si="8"/>
        <v>1.7293292678027214</v>
      </c>
      <c r="Y29" s="1">
        <f t="shared" si="9"/>
        <v>45.524952134090263</v>
      </c>
      <c r="Z29" s="1">
        <f t="shared" si="16"/>
        <v>21581.794515840189</v>
      </c>
      <c r="AA29" s="1">
        <f t="shared" si="11"/>
        <v>21578.851644791197</v>
      </c>
      <c r="AB29" s="1">
        <f t="shared" si="12"/>
        <v>0.49996590793569162</v>
      </c>
      <c r="AC29" s="1">
        <f t="shared" si="13"/>
        <v>0.50003409206430838</v>
      </c>
      <c r="AD29" s="1">
        <f>ABS(AB29 - Sheet4!AB29)</f>
        <v>0.33685531459944196</v>
      </c>
      <c r="AF29" s="15">
        <f t="shared" si="14"/>
        <v>2</v>
      </c>
      <c r="AG29" s="15">
        <f t="shared" si="15"/>
        <v>0</v>
      </c>
    </row>
    <row r="30" spans="1:33" ht="27.6" x14ac:dyDescent="0.3">
      <c r="A30" s="2">
        <v>202208</v>
      </c>
      <c r="B30" s="6">
        <v>44784</v>
      </c>
      <c r="C30" s="3">
        <v>74</v>
      </c>
      <c r="D30" s="3">
        <v>107</v>
      </c>
      <c r="E30" s="3">
        <v>52</v>
      </c>
      <c r="F30" s="3">
        <v>19</v>
      </c>
      <c r="G30" s="3">
        <v>80</v>
      </c>
      <c r="H30" s="3">
        <v>27</v>
      </c>
      <c r="I30" s="3">
        <v>107</v>
      </c>
      <c r="J30" s="3" t="s">
        <v>19</v>
      </c>
      <c r="K30" s="3" t="s">
        <v>22</v>
      </c>
      <c r="L30" s="3" t="s">
        <v>21</v>
      </c>
      <c r="N30" s="1">
        <f t="shared" si="1"/>
        <v>0.81034482758620685</v>
      </c>
      <c r="O30" s="1">
        <f t="shared" si="2"/>
        <v>0.60952380952380958</v>
      </c>
      <c r="P30" s="1">
        <f t="shared" si="3"/>
        <v>0.58333333333333337</v>
      </c>
      <c r="Q30" s="1">
        <f t="shared" si="4"/>
        <v>0.52631578947368418</v>
      </c>
      <c r="R30" s="1">
        <f t="shared" si="5"/>
        <v>0.38414634146341464</v>
      </c>
      <c r="S30" s="1">
        <f t="shared" si="6"/>
        <v>0.4375</v>
      </c>
      <c r="T30" s="1">
        <f t="shared" si="7"/>
        <v>3.3511641013804487</v>
      </c>
      <c r="V30" s="1">
        <f>Sheet4!AB30^2</f>
        <v>1.3558249931532805E-2</v>
      </c>
      <c r="W30" s="1">
        <f>Sheet4!AC30^2</f>
        <v>0.78067845319911711</v>
      </c>
      <c r="X30" s="1">
        <f t="shared" si="8"/>
        <v>1.0033104949334275</v>
      </c>
      <c r="Y30" s="1">
        <f t="shared" si="9"/>
        <v>57.770205536734665</v>
      </c>
      <c r="Z30" s="1">
        <f t="shared" si="16"/>
        <v>21829.826790188923</v>
      </c>
      <c r="AA30" s="1">
        <f t="shared" si="11"/>
        <v>21664.698379265385</v>
      </c>
      <c r="AB30" s="1">
        <f t="shared" si="12"/>
        <v>0.49810173337586511</v>
      </c>
      <c r="AC30" s="1">
        <f t="shared" si="13"/>
        <v>0.50189826662413495</v>
      </c>
      <c r="AD30" s="1">
        <f>ABS(AB30 - Sheet4!AB30)</f>
        <v>0.38166183500965728</v>
      </c>
      <c r="AF30" s="15">
        <f t="shared" si="14"/>
        <v>2</v>
      </c>
      <c r="AG30" s="15">
        <f t="shared" si="15"/>
        <v>1</v>
      </c>
    </row>
    <row r="31" spans="1:33" ht="27.6" x14ac:dyDescent="0.3">
      <c r="A31" s="2">
        <v>202208</v>
      </c>
      <c r="B31" s="6">
        <v>44783</v>
      </c>
      <c r="C31" s="3">
        <v>73</v>
      </c>
      <c r="D31" s="3">
        <v>116</v>
      </c>
      <c r="E31" s="3">
        <v>49</v>
      </c>
      <c r="F31" s="3">
        <v>19</v>
      </c>
      <c r="G31" s="3">
        <v>82</v>
      </c>
      <c r="H31" s="3">
        <v>29</v>
      </c>
      <c r="I31" s="3">
        <v>116</v>
      </c>
      <c r="J31" s="3" t="s">
        <v>19</v>
      </c>
      <c r="K31" s="3" t="s">
        <v>22</v>
      </c>
      <c r="L31" s="3" t="s">
        <v>21</v>
      </c>
      <c r="N31" s="1">
        <f t="shared" si="1"/>
        <v>0.7931034482758621</v>
      </c>
      <c r="O31" s="1">
        <f t="shared" si="2"/>
        <v>0.69523809523809521</v>
      </c>
      <c r="P31" s="1">
        <f t="shared" si="3"/>
        <v>0.33333333333333331</v>
      </c>
      <c r="Q31" s="1">
        <f t="shared" si="4"/>
        <v>0.52631578947368418</v>
      </c>
      <c r="R31" s="1">
        <f t="shared" si="5"/>
        <v>0.39634146341463417</v>
      </c>
      <c r="S31" s="1">
        <f t="shared" si="6"/>
        <v>0.5</v>
      </c>
      <c r="T31" s="1">
        <f t="shared" si="7"/>
        <v>3.2443321297356089</v>
      </c>
      <c r="V31" s="1">
        <f>Sheet4!AB31^2</f>
        <v>7.1748877108800376E-3</v>
      </c>
      <c r="W31" s="1">
        <f>Sheet4!AC31^2</f>
        <v>0.83776546989852763</v>
      </c>
      <c r="X31" s="1">
        <f t="shared" si="8"/>
        <v>0.52376680289424271</v>
      </c>
      <c r="Y31" s="1">
        <f t="shared" si="9"/>
        <v>61.156879302592515</v>
      </c>
      <c r="Z31" s="1">
        <f t="shared" si="16"/>
        <v>23943.48987081684</v>
      </c>
      <c r="AA31" s="1">
        <f t="shared" si="11"/>
        <v>23796.382075434922</v>
      </c>
      <c r="AB31" s="1">
        <f t="shared" si="12"/>
        <v>0.49845927744058954</v>
      </c>
      <c r="AC31" s="1">
        <f t="shared" si="13"/>
        <v>0.5015407225594104</v>
      </c>
      <c r="AD31" s="1">
        <f>ABS(AB31 - Sheet4!AB31)</f>
        <v>0.41375456853441339</v>
      </c>
      <c r="AF31" s="15">
        <f t="shared" si="14"/>
        <v>2</v>
      </c>
      <c r="AG31" s="15">
        <f t="shared" si="15"/>
        <v>1</v>
      </c>
    </row>
    <row r="32" spans="1:33" ht="27.6" x14ac:dyDescent="0.3">
      <c r="A32" s="2">
        <v>202208</v>
      </c>
      <c r="B32" s="6">
        <v>44782</v>
      </c>
      <c r="C32" s="3">
        <v>61</v>
      </c>
      <c r="D32" s="3">
        <v>88</v>
      </c>
      <c r="E32" s="3">
        <v>50</v>
      </c>
      <c r="F32" s="3">
        <v>14</v>
      </c>
      <c r="G32" s="3">
        <v>103</v>
      </c>
      <c r="H32" s="3">
        <v>21</v>
      </c>
      <c r="I32" s="3">
        <v>103</v>
      </c>
      <c r="J32" s="3" t="s">
        <v>25</v>
      </c>
      <c r="K32" s="3" t="s">
        <v>22</v>
      </c>
      <c r="L32" s="3" t="s">
        <v>23</v>
      </c>
      <c r="N32" s="1">
        <f t="shared" si="1"/>
        <v>0.58620689655172409</v>
      </c>
      <c r="O32" s="1">
        <f t="shared" si="2"/>
        <v>0.42857142857142855</v>
      </c>
      <c r="P32" s="1">
        <f t="shared" si="3"/>
        <v>0.41666666666666669</v>
      </c>
      <c r="Q32" s="1">
        <f t="shared" si="4"/>
        <v>0.26315789473684209</v>
      </c>
      <c r="R32" s="1">
        <f t="shared" si="5"/>
        <v>0.52439024390243905</v>
      </c>
      <c r="S32" s="1">
        <f t="shared" si="6"/>
        <v>0.25</v>
      </c>
      <c r="T32" s="1">
        <f t="shared" si="7"/>
        <v>2.4689931304291006</v>
      </c>
      <c r="V32" s="1">
        <f>Sheet4!AB32^2</f>
        <v>6.4869063832734788E-2</v>
      </c>
      <c r="W32" s="1">
        <f>Sheet4!AC32^2</f>
        <v>0.55548094527190772</v>
      </c>
      <c r="X32" s="1">
        <f t="shared" si="8"/>
        <v>3.9570128937968221</v>
      </c>
      <c r="Y32" s="1">
        <f t="shared" si="9"/>
        <v>33.884337661586372</v>
      </c>
      <c r="Z32" s="1">
        <f t="shared" si="16"/>
        <v>21490.446838351862</v>
      </c>
      <c r="AA32" s="1">
        <f t="shared" si="11"/>
        <v>21559.586429469335</v>
      </c>
      <c r="AB32" s="1">
        <f t="shared" si="12"/>
        <v>0.5008030143750104</v>
      </c>
      <c r="AC32" s="1">
        <f t="shared" si="13"/>
        <v>0.4991969856249896</v>
      </c>
      <c r="AD32" s="1">
        <f>ABS(AB32 - Sheet4!AB32)</f>
        <v>0.2461089550945969</v>
      </c>
      <c r="AF32" s="15">
        <f t="shared" si="14"/>
        <v>1</v>
      </c>
      <c r="AG32" s="15">
        <f t="shared" si="15"/>
        <v>0</v>
      </c>
    </row>
    <row r="33" spans="1:33" x14ac:dyDescent="0.3">
      <c r="A33" s="2">
        <v>202208</v>
      </c>
      <c r="B33" s="6">
        <v>44781</v>
      </c>
      <c r="C33" s="3">
        <v>60</v>
      </c>
      <c r="D33" s="3">
        <v>84</v>
      </c>
      <c r="E33" s="3">
        <v>48</v>
      </c>
      <c r="F33" s="3">
        <v>18</v>
      </c>
      <c r="G33" s="3">
        <v>97</v>
      </c>
      <c r="H33" s="3">
        <v>27</v>
      </c>
      <c r="I33" s="3">
        <v>97</v>
      </c>
      <c r="J33" s="3" t="s">
        <v>25</v>
      </c>
      <c r="K33" s="3" t="s">
        <v>20</v>
      </c>
      <c r="L33" s="3" t="s">
        <v>23</v>
      </c>
      <c r="N33" s="1">
        <f t="shared" si="1"/>
        <v>0.56896551724137934</v>
      </c>
      <c r="O33" s="1">
        <f t="shared" si="2"/>
        <v>0.39047619047619048</v>
      </c>
      <c r="P33" s="1">
        <f t="shared" si="3"/>
        <v>0.25</v>
      </c>
      <c r="Q33" s="1">
        <f t="shared" si="4"/>
        <v>0.47368421052631576</v>
      </c>
      <c r="R33" s="1">
        <f t="shared" si="5"/>
        <v>0.48780487804878048</v>
      </c>
      <c r="S33" s="1">
        <f t="shared" si="6"/>
        <v>0.4375</v>
      </c>
      <c r="T33" s="1">
        <f t="shared" si="7"/>
        <v>2.6084307962926658</v>
      </c>
      <c r="V33" s="1">
        <f>Sheet4!AB33^2</f>
        <v>9.9581395451454599E-2</v>
      </c>
      <c r="W33" s="1">
        <f>Sheet4!AC33^2</f>
        <v>0.46845099545014079</v>
      </c>
      <c r="X33" s="1">
        <f t="shared" si="8"/>
        <v>5.9748837270872759</v>
      </c>
      <c r="Y33" s="1">
        <f t="shared" si="9"/>
        <v>28.107059727008448</v>
      </c>
      <c r="Z33" s="1">
        <f t="shared" si="16"/>
        <v>19822.109918979782</v>
      </c>
      <c r="AA33" s="1">
        <f t="shared" si="11"/>
        <v>19909.270125638868</v>
      </c>
      <c r="AB33" s="1">
        <f t="shared" si="12"/>
        <v>0.50109686860311931</v>
      </c>
      <c r="AC33" s="1">
        <f t="shared" si="13"/>
        <v>0.49890313139688069</v>
      </c>
      <c r="AD33" s="1">
        <f>ABS(AB33 - Sheet4!AB33)</f>
        <v>0.1855316686024624</v>
      </c>
      <c r="AF33" s="15">
        <f t="shared" si="14"/>
        <v>1</v>
      </c>
      <c r="AG33" s="15">
        <f t="shared" si="15"/>
        <v>1</v>
      </c>
    </row>
    <row r="34" spans="1:33" ht="27.6" x14ac:dyDescent="0.3">
      <c r="A34" s="2">
        <v>202208</v>
      </c>
      <c r="B34" s="6">
        <v>44780</v>
      </c>
      <c r="C34" s="3">
        <v>76</v>
      </c>
      <c r="D34" s="3">
        <v>119</v>
      </c>
      <c r="E34" s="3">
        <v>50</v>
      </c>
      <c r="F34" s="3">
        <v>18</v>
      </c>
      <c r="G34" s="3">
        <v>114</v>
      </c>
      <c r="H34" s="3">
        <v>29</v>
      </c>
      <c r="I34" s="3">
        <v>119</v>
      </c>
      <c r="J34" s="3" t="s">
        <v>19</v>
      </c>
      <c r="K34" s="3" t="s">
        <v>22</v>
      </c>
      <c r="L34" s="3" t="s">
        <v>21</v>
      </c>
      <c r="N34" s="1">
        <f t="shared" si="1"/>
        <v>0.84482758620689657</v>
      </c>
      <c r="O34" s="1">
        <f t="shared" si="2"/>
        <v>0.72380952380952379</v>
      </c>
      <c r="P34" s="1">
        <f t="shared" si="3"/>
        <v>0.41666666666666669</v>
      </c>
      <c r="Q34" s="1">
        <f t="shared" si="4"/>
        <v>0.47368421052631576</v>
      </c>
      <c r="R34" s="1">
        <f t="shared" si="5"/>
        <v>0.59146341463414631</v>
      </c>
      <c r="S34" s="1">
        <f t="shared" si="6"/>
        <v>0.5</v>
      </c>
      <c r="T34" s="1">
        <f t="shared" si="7"/>
        <v>3.5504514018435489</v>
      </c>
      <c r="V34" s="1">
        <f>Sheet4!AB34^2</f>
        <v>2.3301545036959592E-2</v>
      </c>
      <c r="W34" s="1">
        <f>Sheet4!AC34^2</f>
        <v>0.71800467288161252</v>
      </c>
      <c r="X34" s="1">
        <f t="shared" si="8"/>
        <v>1.7709174228089291</v>
      </c>
      <c r="Y34" s="1">
        <f t="shared" si="9"/>
        <v>54.568355139002549</v>
      </c>
      <c r="Z34" s="1">
        <f t="shared" si="16"/>
        <v>31067.500628933085</v>
      </c>
      <c r="AA34" s="1">
        <f t="shared" si="11"/>
        <v>30866.330986926318</v>
      </c>
      <c r="AB34" s="1">
        <f t="shared" si="12"/>
        <v>0.4983759309188675</v>
      </c>
      <c r="AC34" s="1">
        <f t="shared" si="13"/>
        <v>0.50162406908113244</v>
      </c>
      <c r="AD34" s="1">
        <f>ABS(AB34 - Sheet4!AB34)</f>
        <v>0.34572749484119392</v>
      </c>
      <c r="AF34" s="15">
        <f t="shared" si="14"/>
        <v>2</v>
      </c>
      <c r="AG34" s="15">
        <f t="shared" si="15"/>
        <v>1</v>
      </c>
    </row>
    <row r="35" spans="1:33" ht="27.6" x14ac:dyDescent="0.3">
      <c r="A35" s="2">
        <v>202208</v>
      </c>
      <c r="B35" s="6">
        <v>44779</v>
      </c>
      <c r="C35" s="3">
        <v>69</v>
      </c>
      <c r="D35" s="3">
        <v>101</v>
      </c>
      <c r="E35" s="3">
        <v>49</v>
      </c>
      <c r="F35" s="3">
        <v>19</v>
      </c>
      <c r="G35" s="3">
        <v>87</v>
      </c>
      <c r="H35" s="3">
        <v>29</v>
      </c>
      <c r="I35" s="3">
        <v>101</v>
      </c>
      <c r="J35" s="3" t="s">
        <v>19</v>
      </c>
      <c r="K35" s="3" t="s">
        <v>22</v>
      </c>
      <c r="L35" s="3" t="s">
        <v>21</v>
      </c>
      <c r="N35" s="1">
        <f t="shared" si="1"/>
        <v>0.72413793103448276</v>
      </c>
      <c r="O35" s="1">
        <f t="shared" si="2"/>
        <v>0.55238095238095242</v>
      </c>
      <c r="P35" s="1">
        <f t="shared" si="3"/>
        <v>0.33333333333333331</v>
      </c>
      <c r="Q35" s="1">
        <f t="shared" si="4"/>
        <v>0.52631578947368418</v>
      </c>
      <c r="R35" s="1">
        <f t="shared" si="5"/>
        <v>0.42682926829268292</v>
      </c>
      <c r="S35" s="1">
        <f t="shared" si="6"/>
        <v>0.5</v>
      </c>
      <c r="T35" s="1">
        <f t="shared" si="7"/>
        <v>3.0629972745151357</v>
      </c>
      <c r="V35" s="1">
        <f>Sheet4!AB35^2</f>
        <v>5.8594763019620731E-3</v>
      </c>
      <c r="W35" s="1">
        <f>Sheet4!AC35^2</f>
        <v>0.85276504398044273</v>
      </c>
      <c r="X35" s="1">
        <f t="shared" si="8"/>
        <v>0.40430386483538305</v>
      </c>
      <c r="Y35" s="1">
        <f t="shared" si="9"/>
        <v>58.840788034650551</v>
      </c>
      <c r="Z35" s="1">
        <f t="shared" si="16"/>
        <v>21448.142193328516</v>
      </c>
      <c r="AA35" s="1">
        <f t="shared" si="11"/>
        <v>21373.116860113059</v>
      </c>
      <c r="AB35" s="1">
        <f t="shared" si="12"/>
        <v>0.49912397095655425</v>
      </c>
      <c r="AC35" s="1">
        <f t="shared" si="13"/>
        <v>0.50087602904344575</v>
      </c>
      <c r="AD35" s="1">
        <f>ABS(AB35 - Sheet4!AB35)</f>
        <v>0.42257675479579454</v>
      </c>
      <c r="AF35" s="15">
        <f t="shared" si="14"/>
        <v>2</v>
      </c>
      <c r="AG35" s="15">
        <f t="shared" si="15"/>
        <v>1</v>
      </c>
    </row>
    <row r="36" spans="1:33" x14ac:dyDescent="0.3">
      <c r="A36" s="2">
        <v>202208</v>
      </c>
      <c r="B36" s="6">
        <v>44778</v>
      </c>
      <c r="C36" s="3">
        <v>60</v>
      </c>
      <c r="D36" s="3">
        <v>82</v>
      </c>
      <c r="E36" s="3">
        <v>47</v>
      </c>
      <c r="F36" s="3">
        <v>17</v>
      </c>
      <c r="G36" s="3">
        <v>79</v>
      </c>
      <c r="H36" s="3">
        <v>26</v>
      </c>
      <c r="I36" s="3">
        <v>82</v>
      </c>
      <c r="J36" s="3" t="s">
        <v>19</v>
      </c>
      <c r="K36" s="3" t="s">
        <v>20</v>
      </c>
      <c r="L36" s="3" t="s">
        <v>21</v>
      </c>
      <c r="N36" s="1">
        <f t="shared" si="1"/>
        <v>0.56896551724137934</v>
      </c>
      <c r="O36" s="1">
        <f t="shared" si="2"/>
        <v>0.37142857142857144</v>
      </c>
      <c r="P36" s="1">
        <f t="shared" si="3"/>
        <v>0.16666666666666666</v>
      </c>
      <c r="Q36" s="1">
        <f t="shared" si="4"/>
        <v>0.42105263157894735</v>
      </c>
      <c r="R36" s="1">
        <f t="shared" si="5"/>
        <v>0.37804878048780488</v>
      </c>
      <c r="S36" s="1">
        <f t="shared" si="6"/>
        <v>0.40625</v>
      </c>
      <c r="T36" s="1">
        <f t="shared" si="7"/>
        <v>2.3124121674033695</v>
      </c>
      <c r="V36" s="1">
        <f>Sheet4!AB36^2</f>
        <v>0.35162523112451732</v>
      </c>
      <c r="W36" s="1">
        <f>Sheet4!AC36^2</f>
        <v>0.16566531422257183</v>
      </c>
      <c r="X36" s="1">
        <f t="shared" si="8"/>
        <v>21.09751386747104</v>
      </c>
      <c r="Y36" s="1">
        <f t="shared" si="9"/>
        <v>9.9399188533543104</v>
      </c>
      <c r="Z36" s="1">
        <f t="shared" si="16"/>
        <v>16139.109918979781</v>
      </c>
      <c r="AA36" s="1">
        <f t="shared" si="11"/>
        <v>16226.270125638868</v>
      </c>
      <c r="AB36" s="1">
        <f t="shared" si="12"/>
        <v>0.50134650367984135</v>
      </c>
      <c r="AC36" s="1">
        <f t="shared" si="13"/>
        <v>0.49865349632015865</v>
      </c>
      <c r="AD36" s="1">
        <f>ABS(AB36 - Sheet4!AB36)</f>
        <v>9.1633454771131384E-2</v>
      </c>
      <c r="AF36" s="15">
        <f t="shared" si="14"/>
        <v>1</v>
      </c>
      <c r="AG36" s="15">
        <f t="shared" si="15"/>
        <v>1</v>
      </c>
    </row>
    <row r="37" spans="1:33" x14ac:dyDescent="0.3">
      <c r="A37" s="2">
        <v>202208</v>
      </c>
      <c r="B37" s="6">
        <v>44777</v>
      </c>
      <c r="C37" s="3">
        <v>69</v>
      </c>
      <c r="D37" s="3">
        <v>99</v>
      </c>
      <c r="E37" s="3">
        <v>48</v>
      </c>
      <c r="F37" s="3">
        <v>15</v>
      </c>
      <c r="G37" s="3">
        <v>82</v>
      </c>
      <c r="H37" s="3">
        <v>20</v>
      </c>
      <c r="I37" s="3">
        <v>99</v>
      </c>
      <c r="J37" s="3" t="s">
        <v>19</v>
      </c>
      <c r="K37" s="3" t="s">
        <v>20</v>
      </c>
      <c r="L37" s="3" t="s">
        <v>21</v>
      </c>
      <c r="N37" s="1">
        <f t="shared" si="1"/>
        <v>0.72413793103448276</v>
      </c>
      <c r="O37" s="1">
        <f t="shared" si="2"/>
        <v>0.53333333333333333</v>
      </c>
      <c r="P37" s="1">
        <f t="shared" si="3"/>
        <v>0.25</v>
      </c>
      <c r="Q37" s="1">
        <f t="shared" si="4"/>
        <v>0.31578947368421051</v>
      </c>
      <c r="R37" s="1">
        <f t="shared" si="5"/>
        <v>0.39634146341463417</v>
      </c>
      <c r="S37" s="1">
        <f t="shared" si="6"/>
        <v>0.21875</v>
      </c>
      <c r="T37" s="1">
        <f t="shared" si="7"/>
        <v>2.4383522014666608</v>
      </c>
      <c r="V37" s="1">
        <f>Sheet4!AB37^2</f>
        <v>4.4842194146504713E-2</v>
      </c>
      <c r="W37" s="1">
        <f>Sheet4!AC37^2</f>
        <v>0.62132268268803736</v>
      </c>
      <c r="X37" s="1">
        <f t="shared" si="8"/>
        <v>3.0941113961088251</v>
      </c>
      <c r="Y37" s="1">
        <f t="shared" si="9"/>
        <v>42.871265105474578</v>
      </c>
      <c r="Z37" s="1">
        <f t="shared" si="16"/>
        <v>19529.142193328516</v>
      </c>
      <c r="AA37" s="1">
        <f t="shared" si="11"/>
        <v>19454.116860113059</v>
      </c>
      <c r="AB37" s="1">
        <f t="shared" si="12"/>
        <v>0.4990377236916928</v>
      </c>
      <c r="AC37" s="1">
        <f t="shared" si="13"/>
        <v>0.50096227630830725</v>
      </c>
      <c r="AD37" s="1">
        <f>ABS(AB37 - Sheet4!AB37)</f>
        <v>0.28727796796245914</v>
      </c>
      <c r="AF37" s="15">
        <f t="shared" si="14"/>
        <v>2</v>
      </c>
      <c r="AG37" s="15">
        <f t="shared" si="15"/>
        <v>0</v>
      </c>
    </row>
    <row r="38" spans="1:33" ht="27.6" x14ac:dyDescent="0.3">
      <c r="A38" s="2">
        <v>202208</v>
      </c>
      <c r="B38" s="6">
        <v>44776</v>
      </c>
      <c r="C38" s="3">
        <v>82</v>
      </c>
      <c r="D38" s="3">
        <v>141</v>
      </c>
      <c r="E38" s="3">
        <v>51</v>
      </c>
      <c r="F38" s="3">
        <v>19</v>
      </c>
      <c r="G38" s="3">
        <v>129</v>
      </c>
      <c r="H38" s="3">
        <v>24</v>
      </c>
      <c r="I38" s="3">
        <v>141</v>
      </c>
      <c r="J38" s="3" t="s">
        <v>19</v>
      </c>
      <c r="K38" s="3" t="s">
        <v>22</v>
      </c>
      <c r="L38" s="3" t="s">
        <v>21</v>
      </c>
      <c r="N38" s="1">
        <f t="shared" si="1"/>
        <v>0.94827586206896552</v>
      </c>
      <c r="O38" s="1">
        <f t="shared" si="2"/>
        <v>0.93333333333333335</v>
      </c>
      <c r="P38" s="1">
        <f t="shared" si="3"/>
        <v>0.5</v>
      </c>
      <c r="Q38" s="1">
        <f t="shared" si="4"/>
        <v>0.52631578947368418</v>
      </c>
      <c r="R38" s="1">
        <f t="shared" si="5"/>
        <v>0.68292682926829273</v>
      </c>
      <c r="S38" s="1">
        <f t="shared" si="6"/>
        <v>0.34375</v>
      </c>
      <c r="T38" s="1">
        <f t="shared" si="7"/>
        <v>3.9346018141442758</v>
      </c>
      <c r="V38" s="1">
        <f>Sheet4!AB38^2</f>
        <v>6.6056877710339273E-2</v>
      </c>
      <c r="W38" s="1">
        <f>Sheet4!AC38^2</f>
        <v>0.55202622605485951</v>
      </c>
      <c r="X38" s="1">
        <f t="shared" si="8"/>
        <v>5.4166639722478207</v>
      </c>
      <c r="Y38" s="1">
        <f t="shared" si="9"/>
        <v>45.266150536498479</v>
      </c>
      <c r="Z38" s="1">
        <f t="shared" si="16"/>
        <v>40529.522145165582</v>
      </c>
      <c r="AA38" s="1">
        <f t="shared" si="11"/>
        <v>40220.228809909109</v>
      </c>
      <c r="AB38" s="1">
        <f t="shared" si="12"/>
        <v>0.49808486508256516</v>
      </c>
      <c r="AC38" s="1">
        <f t="shared" si="13"/>
        <v>0.50191513491743489</v>
      </c>
      <c r="AD38" s="1">
        <f>ABS(AB38 - Sheet4!AB38)</f>
        <v>0.24106953925482533</v>
      </c>
      <c r="AF38" s="15">
        <f t="shared" si="14"/>
        <v>2</v>
      </c>
      <c r="AG38" s="15">
        <f t="shared" si="15"/>
        <v>1</v>
      </c>
    </row>
    <row r="39" spans="1:33" ht="27.6" x14ac:dyDescent="0.3">
      <c r="A39" s="2">
        <v>202208</v>
      </c>
      <c r="B39" s="6">
        <v>44775</v>
      </c>
      <c r="C39" s="3">
        <v>67</v>
      </c>
      <c r="D39" s="3">
        <v>113</v>
      </c>
      <c r="E39" s="3">
        <v>50</v>
      </c>
      <c r="F39" s="3">
        <v>15</v>
      </c>
      <c r="G39" s="3">
        <v>84</v>
      </c>
      <c r="H39" s="3">
        <v>28</v>
      </c>
      <c r="I39" s="3">
        <v>113</v>
      </c>
      <c r="J39" s="3" t="s">
        <v>19</v>
      </c>
      <c r="K39" s="3" t="s">
        <v>22</v>
      </c>
      <c r="L39" s="3" t="s">
        <v>21</v>
      </c>
      <c r="N39" s="1">
        <f t="shared" si="1"/>
        <v>0.68965517241379315</v>
      </c>
      <c r="O39" s="1">
        <f t="shared" si="2"/>
        <v>0.66666666666666663</v>
      </c>
      <c r="P39" s="1">
        <f t="shared" si="3"/>
        <v>0.41666666666666669</v>
      </c>
      <c r="Q39" s="1">
        <f t="shared" si="4"/>
        <v>0.31578947368421051</v>
      </c>
      <c r="R39" s="1">
        <f t="shared" si="5"/>
        <v>0.40853658536585363</v>
      </c>
      <c r="S39" s="1">
        <f t="shared" si="6"/>
        <v>0.46875</v>
      </c>
      <c r="T39" s="1">
        <f t="shared" si="7"/>
        <v>2.9660645647971906</v>
      </c>
      <c r="V39" s="1">
        <f>Sheet4!AB39^2</f>
        <v>2.8088886882675986E-3</v>
      </c>
      <c r="W39" s="1">
        <f>Sheet4!AC39^2</f>
        <v>0.89681098893044031</v>
      </c>
      <c r="X39" s="1">
        <f t="shared" si="8"/>
        <v>0.18819554211392911</v>
      </c>
      <c r="Y39" s="1">
        <f t="shared" si="9"/>
        <v>60.0863362583395</v>
      </c>
      <c r="Z39" s="1">
        <f t="shared" si="16"/>
        <v>23378.468354584351</v>
      </c>
      <c r="AA39" s="1">
        <f t="shared" si="11"/>
        <v>23339.48425245213</v>
      </c>
      <c r="AB39" s="1">
        <f t="shared" si="12"/>
        <v>0.49958277171882798</v>
      </c>
      <c r="AC39" s="1">
        <f t="shared" si="13"/>
        <v>0.50041722828117208</v>
      </c>
      <c r="AD39" s="1">
        <f>ABS(AB39 - Sheet4!AB39)</f>
        <v>0.44658382183991435</v>
      </c>
      <c r="AF39" s="15">
        <f t="shared" si="14"/>
        <v>2</v>
      </c>
      <c r="AG39" s="15">
        <f t="shared" si="15"/>
        <v>1</v>
      </c>
    </row>
    <row r="40" spans="1:33" ht="27.6" x14ac:dyDescent="0.3">
      <c r="A40" s="2">
        <v>202209</v>
      </c>
      <c r="B40" s="6">
        <v>44805</v>
      </c>
      <c r="C40" s="3">
        <v>83</v>
      </c>
      <c r="D40" s="3">
        <v>130</v>
      </c>
      <c r="E40" s="3">
        <v>51</v>
      </c>
      <c r="F40" s="3">
        <v>15</v>
      </c>
      <c r="G40" s="3">
        <v>42</v>
      </c>
      <c r="H40" s="3">
        <v>25</v>
      </c>
      <c r="I40" s="3">
        <v>130</v>
      </c>
      <c r="J40" s="3" t="s">
        <v>19</v>
      </c>
      <c r="K40" s="3" t="s">
        <v>22</v>
      </c>
      <c r="L40" s="3" t="s">
        <v>21</v>
      </c>
      <c r="N40" s="1">
        <f t="shared" si="1"/>
        <v>0.96551724137931039</v>
      </c>
      <c r="O40" s="1">
        <f t="shared" si="2"/>
        <v>0.82857142857142863</v>
      </c>
      <c r="P40" s="1">
        <f t="shared" si="3"/>
        <v>0.5</v>
      </c>
      <c r="Q40" s="1">
        <f t="shared" si="4"/>
        <v>0.31578947368421051</v>
      </c>
      <c r="R40" s="1">
        <f t="shared" si="5"/>
        <v>0.1524390243902439</v>
      </c>
      <c r="S40" s="1">
        <f t="shared" si="6"/>
        <v>0.375</v>
      </c>
      <c r="T40" s="1">
        <f t="shared" si="7"/>
        <v>3.1373171680251932</v>
      </c>
      <c r="V40" s="1">
        <f>Sheet4!AB40^2</f>
        <v>0.35310533544938905</v>
      </c>
      <c r="W40" s="1">
        <f>Sheet4!AC40^2</f>
        <v>0.16465199526410604</v>
      </c>
      <c r="X40" s="1">
        <f t="shared" si="8"/>
        <v>29.307742842299291</v>
      </c>
      <c r="Y40" s="1">
        <f t="shared" si="9"/>
        <v>13.666115606920801</v>
      </c>
      <c r="Z40" s="1">
        <f t="shared" si="16"/>
        <v>22628.859064537657</v>
      </c>
      <c r="AA40" s="1">
        <f t="shared" si="11"/>
        <v>22301.545113739576</v>
      </c>
      <c r="AB40" s="1">
        <f t="shared" si="12"/>
        <v>0.49635754499893492</v>
      </c>
      <c r="AC40" s="1">
        <f t="shared" si="13"/>
        <v>0.50364245500106508</v>
      </c>
      <c r="AD40" s="1">
        <f>ABS(AB40 - Sheet4!AB40)</f>
        <v>9.7869125093706599E-2</v>
      </c>
      <c r="AF40" s="15">
        <f t="shared" si="14"/>
        <v>2</v>
      </c>
      <c r="AG40" s="15">
        <f t="shared" si="15"/>
        <v>1</v>
      </c>
    </row>
    <row r="41" spans="1:33" ht="27.6" x14ac:dyDescent="0.3">
      <c r="A41" s="2">
        <v>202209</v>
      </c>
      <c r="B41" s="6">
        <v>44834</v>
      </c>
      <c r="C41" s="3">
        <v>71</v>
      </c>
      <c r="D41" s="3">
        <v>103</v>
      </c>
      <c r="E41" s="3">
        <v>51</v>
      </c>
      <c r="F41" s="3">
        <v>14</v>
      </c>
      <c r="G41" s="3">
        <v>45</v>
      </c>
      <c r="H41" s="3">
        <v>23</v>
      </c>
      <c r="I41" s="3">
        <v>103</v>
      </c>
      <c r="J41" s="3" t="s">
        <v>19</v>
      </c>
      <c r="K41" s="3" t="s">
        <v>22</v>
      </c>
      <c r="L41" s="3" t="s">
        <v>21</v>
      </c>
      <c r="N41" s="1">
        <f t="shared" si="1"/>
        <v>0.75862068965517238</v>
      </c>
      <c r="O41" s="1">
        <f t="shared" si="2"/>
        <v>0.5714285714285714</v>
      </c>
      <c r="P41" s="1">
        <f t="shared" si="3"/>
        <v>0.5</v>
      </c>
      <c r="Q41" s="1">
        <f t="shared" si="4"/>
        <v>0.26315789473684209</v>
      </c>
      <c r="R41" s="1">
        <f t="shared" si="5"/>
        <v>0.17073170731707318</v>
      </c>
      <c r="S41" s="1">
        <f t="shared" si="6"/>
        <v>0.3125</v>
      </c>
      <c r="T41" s="1">
        <f t="shared" si="7"/>
        <v>2.5764388631376591</v>
      </c>
      <c r="V41" s="1">
        <f>Sheet4!AB41^2</f>
        <v>0.75684555676405596</v>
      </c>
      <c r="W41" s="1">
        <f>Sheet4!AC41^2</f>
        <v>1.6908136321520665E-2</v>
      </c>
      <c r="X41" s="1">
        <f t="shared" si="8"/>
        <v>53.73603453024797</v>
      </c>
      <c r="Y41" s="1">
        <f t="shared" si="9"/>
        <v>1.2004776788279672</v>
      </c>
      <c r="Z41" s="1">
        <f t="shared" si="16"/>
        <v>16073.816032072678</v>
      </c>
      <c r="AA41" s="1">
        <f t="shared" si="11"/>
        <v>15962.749467773991</v>
      </c>
      <c r="AB41" s="1">
        <f t="shared" si="12"/>
        <v>0.49826656567946992</v>
      </c>
      <c r="AC41" s="1">
        <f t="shared" si="13"/>
        <v>0.50173343432053008</v>
      </c>
      <c r="AD41" s="1">
        <f>ABS(AB41 - Sheet4!AB41)</f>
        <v>0.37170214454179773</v>
      </c>
      <c r="AF41" s="15">
        <f t="shared" si="14"/>
        <v>2</v>
      </c>
      <c r="AG41" s="15">
        <f t="shared" si="15"/>
        <v>1</v>
      </c>
    </row>
    <row r="42" spans="1:33" x14ac:dyDescent="0.3">
      <c r="A42" s="2">
        <v>202209</v>
      </c>
      <c r="B42" s="6">
        <v>44833</v>
      </c>
      <c r="C42" s="3">
        <v>62</v>
      </c>
      <c r="D42" s="3">
        <v>100</v>
      </c>
      <c r="E42" s="3">
        <v>51</v>
      </c>
      <c r="F42" s="3">
        <v>14</v>
      </c>
      <c r="G42" s="3">
        <v>50</v>
      </c>
      <c r="H42" s="3">
        <v>21</v>
      </c>
      <c r="I42" s="3">
        <v>100</v>
      </c>
      <c r="J42" s="3" t="s">
        <v>19</v>
      </c>
      <c r="K42" s="3" t="s">
        <v>20</v>
      </c>
      <c r="L42" s="3" t="s">
        <v>21</v>
      </c>
      <c r="N42" s="1">
        <f t="shared" si="1"/>
        <v>0.60344827586206895</v>
      </c>
      <c r="O42" s="1">
        <f t="shared" si="2"/>
        <v>0.54285714285714282</v>
      </c>
      <c r="P42" s="1">
        <f t="shared" si="3"/>
        <v>0.5</v>
      </c>
      <c r="Q42" s="1">
        <f t="shared" si="4"/>
        <v>0.26315789473684209</v>
      </c>
      <c r="R42" s="1">
        <f t="shared" si="5"/>
        <v>0.20121951219512196</v>
      </c>
      <c r="S42" s="1">
        <f t="shared" si="6"/>
        <v>0.25</v>
      </c>
      <c r="T42" s="1">
        <f t="shared" si="7"/>
        <v>2.3606828256511756</v>
      </c>
      <c r="V42" s="1">
        <f>Sheet4!AB42^2</f>
        <v>0.87196627567651908</v>
      </c>
      <c r="W42" s="1">
        <f>Sheet4!AC42^2</f>
        <v>4.3835860196256389E-3</v>
      </c>
      <c r="X42" s="1">
        <f t="shared" si="8"/>
        <v>54.06190909194418</v>
      </c>
      <c r="Y42" s="1">
        <f t="shared" si="9"/>
        <v>0.27178233321678963</v>
      </c>
      <c r="Z42" s="1">
        <f t="shared" si="16"/>
        <v>15740.783757723944</v>
      </c>
      <c r="AA42" s="1">
        <f t="shared" si="11"/>
        <v>15791.902733299799</v>
      </c>
      <c r="AB42" s="1">
        <f t="shared" si="12"/>
        <v>0.50081057120823513</v>
      </c>
      <c r="AC42" s="1">
        <f t="shared" si="13"/>
        <v>0.49918942879176487</v>
      </c>
      <c r="AD42" s="1">
        <f>ABS(AB42 - Sheet4!AB42)</f>
        <v>0.43298077362021159</v>
      </c>
      <c r="AF42" s="15">
        <f t="shared" si="14"/>
        <v>1</v>
      </c>
      <c r="AG42" s="15">
        <f t="shared" si="15"/>
        <v>1</v>
      </c>
    </row>
    <row r="43" spans="1:33" x14ac:dyDescent="0.3">
      <c r="A43" s="2">
        <v>202209</v>
      </c>
      <c r="B43" s="6">
        <v>44832</v>
      </c>
      <c r="C43" s="3">
        <v>62</v>
      </c>
      <c r="D43" s="3">
        <v>92</v>
      </c>
      <c r="E43" s="3">
        <v>51</v>
      </c>
      <c r="F43" s="3">
        <v>13</v>
      </c>
      <c r="G43" s="3">
        <v>55</v>
      </c>
      <c r="H43" s="3">
        <v>24</v>
      </c>
      <c r="I43" s="3">
        <v>92</v>
      </c>
      <c r="J43" s="3" t="s">
        <v>19</v>
      </c>
      <c r="K43" s="3" t="s">
        <v>20</v>
      </c>
      <c r="L43" s="3" t="s">
        <v>21</v>
      </c>
      <c r="N43" s="1">
        <f t="shared" si="1"/>
        <v>0.60344827586206895</v>
      </c>
      <c r="O43" s="1">
        <f t="shared" si="2"/>
        <v>0.46666666666666667</v>
      </c>
      <c r="P43" s="1">
        <f t="shared" si="3"/>
        <v>0.5</v>
      </c>
      <c r="Q43" s="1">
        <f t="shared" si="4"/>
        <v>0.21052631578947367</v>
      </c>
      <c r="R43" s="1">
        <f t="shared" si="5"/>
        <v>0.23170731707317074</v>
      </c>
      <c r="S43" s="1">
        <f t="shared" si="6"/>
        <v>0.34375</v>
      </c>
      <c r="T43" s="1">
        <f t="shared" si="7"/>
        <v>2.3560985753913801</v>
      </c>
      <c r="V43" s="1">
        <f>Sheet4!AB43^2</f>
        <v>0.96894637853341725</v>
      </c>
      <c r="W43" s="1">
        <f>Sheet4!AC43^2</f>
        <v>2.4489935134760338E-4</v>
      </c>
      <c r="X43" s="1">
        <f t="shared" si="8"/>
        <v>60.07467546907187</v>
      </c>
      <c r="Y43" s="1">
        <f t="shared" si="9"/>
        <v>1.5183759783551409E-2</v>
      </c>
      <c r="Z43" s="1">
        <f t="shared" si="16"/>
        <v>14837.783757723944</v>
      </c>
      <c r="AA43" s="1">
        <f t="shared" si="11"/>
        <v>14888.902733299799</v>
      </c>
      <c r="AB43" s="1">
        <f t="shared" si="12"/>
        <v>0.50085981623937958</v>
      </c>
      <c r="AC43" s="1">
        <f t="shared" si="13"/>
        <v>0.49914018376062042</v>
      </c>
      <c r="AD43" s="1">
        <f>ABS(AB43 - Sheet4!AB43)</f>
        <v>0.48349092335165522</v>
      </c>
      <c r="AF43" s="15">
        <f t="shared" si="14"/>
        <v>1</v>
      </c>
      <c r="AG43" s="15">
        <f t="shared" si="15"/>
        <v>1</v>
      </c>
    </row>
    <row r="44" spans="1:33" x14ac:dyDescent="0.3">
      <c r="A44" s="2">
        <v>202209</v>
      </c>
      <c r="B44" s="6">
        <v>44831</v>
      </c>
      <c r="C44" s="3">
        <v>63</v>
      </c>
      <c r="D44" s="3">
        <v>86</v>
      </c>
      <c r="E44" s="3">
        <v>51</v>
      </c>
      <c r="F44" s="3">
        <v>14</v>
      </c>
      <c r="G44" s="3">
        <v>58</v>
      </c>
      <c r="H44" s="3">
        <v>26</v>
      </c>
      <c r="I44" s="3">
        <v>86</v>
      </c>
      <c r="J44" s="3" t="s">
        <v>19</v>
      </c>
      <c r="K44" s="3" t="s">
        <v>20</v>
      </c>
      <c r="L44" s="3" t="s">
        <v>21</v>
      </c>
      <c r="N44" s="1">
        <f t="shared" si="1"/>
        <v>0.62068965517241381</v>
      </c>
      <c r="O44" s="1">
        <f t="shared" si="2"/>
        <v>0.40952380952380951</v>
      </c>
      <c r="P44" s="1">
        <f t="shared" si="3"/>
        <v>0.5</v>
      </c>
      <c r="Q44" s="1">
        <f t="shared" si="4"/>
        <v>0.26315789473684209</v>
      </c>
      <c r="R44" s="1">
        <f t="shared" si="5"/>
        <v>0.25</v>
      </c>
      <c r="S44" s="1">
        <f t="shared" si="6"/>
        <v>0.40625</v>
      </c>
      <c r="T44" s="1">
        <f t="shared" si="7"/>
        <v>2.4496213594330651</v>
      </c>
      <c r="V44" s="1">
        <f>Sheet4!AB44^2</f>
        <v>0.92187590484333626</v>
      </c>
      <c r="W44" s="1">
        <f>Sheet4!AC44^2</f>
        <v>1.588525471867025E-3</v>
      </c>
      <c r="X44" s="1">
        <f t="shared" si="8"/>
        <v>58.078182005130188</v>
      </c>
      <c r="Y44" s="1">
        <f t="shared" si="9"/>
        <v>0.10007710472762257</v>
      </c>
      <c r="Z44" s="1">
        <f t="shared" si="16"/>
        <v>14240.120677096025</v>
      </c>
      <c r="AA44" s="1">
        <f t="shared" si="11"/>
        <v>14273.219037130266</v>
      </c>
      <c r="AB44" s="1">
        <f t="shared" si="12"/>
        <v>0.50058040132032877</v>
      </c>
      <c r="AC44" s="1">
        <f t="shared" si="13"/>
        <v>0.49941959867967123</v>
      </c>
      <c r="AD44" s="1">
        <f>ABS(AB44 - Sheet4!AB44)</f>
        <v>0.45956328836540583</v>
      </c>
      <c r="AF44" s="15">
        <f t="shared" si="14"/>
        <v>1</v>
      </c>
      <c r="AG44" s="15">
        <f t="shared" si="15"/>
        <v>1</v>
      </c>
    </row>
    <row r="45" spans="1:33" x14ac:dyDescent="0.3">
      <c r="A45" s="2">
        <v>202209</v>
      </c>
      <c r="B45" s="6">
        <v>44830</v>
      </c>
      <c r="C45" s="3">
        <v>57</v>
      </c>
      <c r="D45" s="3">
        <v>79</v>
      </c>
      <c r="E45" s="3">
        <v>51</v>
      </c>
      <c r="F45" s="3">
        <v>14</v>
      </c>
      <c r="G45" s="3">
        <v>56</v>
      </c>
      <c r="H45" s="3">
        <v>26</v>
      </c>
      <c r="I45" s="3">
        <v>79</v>
      </c>
      <c r="J45" s="3" t="s">
        <v>19</v>
      </c>
      <c r="K45" s="3" t="s">
        <v>20</v>
      </c>
      <c r="L45" s="3" t="s">
        <v>24</v>
      </c>
      <c r="N45" s="1">
        <f t="shared" si="1"/>
        <v>0.51724137931034486</v>
      </c>
      <c r="O45" s="1">
        <f t="shared" si="2"/>
        <v>0.34285714285714286</v>
      </c>
      <c r="P45" s="1">
        <f t="shared" si="3"/>
        <v>0.5</v>
      </c>
      <c r="Q45" s="1">
        <f t="shared" si="4"/>
        <v>0.26315789473684209</v>
      </c>
      <c r="R45" s="1">
        <f t="shared" si="5"/>
        <v>0.23780487804878048</v>
      </c>
      <c r="S45" s="1">
        <f t="shared" si="6"/>
        <v>0.40625</v>
      </c>
      <c r="T45" s="1">
        <f t="shared" si="7"/>
        <v>2.2673112949531102</v>
      </c>
      <c r="V45" s="1">
        <f>Sheet4!AB45^2</f>
        <v>0.80376848515199051</v>
      </c>
      <c r="W45" s="1">
        <f>Sheet4!AC45^2</f>
        <v>1.0705758806935368E-2</v>
      </c>
      <c r="X45" s="1">
        <f t="shared" si="8"/>
        <v>45.814803653663461</v>
      </c>
      <c r="Y45" s="1">
        <f t="shared" si="9"/>
        <v>0.61022825199531605</v>
      </c>
      <c r="Z45" s="1">
        <f t="shared" si="16"/>
        <v>12861.099160863534</v>
      </c>
      <c r="AA45" s="1">
        <f t="shared" si="11"/>
        <v>13002.321214147472</v>
      </c>
      <c r="AB45" s="1">
        <f t="shared" si="12"/>
        <v>0.50273015036751267</v>
      </c>
      <c r="AC45" s="1">
        <f t="shared" si="13"/>
        <v>0.49726984963248733</v>
      </c>
      <c r="AD45" s="1">
        <f>ABS(AB45 - Sheet4!AB45)</f>
        <v>0.3938012128050149</v>
      </c>
      <c r="AF45" s="15">
        <f t="shared" si="14"/>
        <v>1</v>
      </c>
      <c r="AG45" s="15">
        <f t="shared" si="15"/>
        <v>1</v>
      </c>
    </row>
    <row r="46" spans="1:33" x14ac:dyDescent="0.3">
      <c r="A46" s="2">
        <v>202209</v>
      </c>
      <c r="B46" s="6">
        <v>44829</v>
      </c>
      <c r="C46" s="3">
        <v>58</v>
      </c>
      <c r="D46" s="3">
        <v>94</v>
      </c>
      <c r="E46" s="3">
        <v>50</v>
      </c>
      <c r="F46" s="3">
        <v>14</v>
      </c>
      <c r="G46" s="3">
        <v>48</v>
      </c>
      <c r="H46" s="3">
        <v>25</v>
      </c>
      <c r="I46" s="3">
        <v>94</v>
      </c>
      <c r="J46" s="3" t="s">
        <v>19</v>
      </c>
      <c r="K46" s="3" t="s">
        <v>20</v>
      </c>
      <c r="L46" s="3" t="s">
        <v>21</v>
      </c>
      <c r="N46" s="1">
        <f t="shared" si="1"/>
        <v>0.53448275862068961</v>
      </c>
      <c r="O46" s="1">
        <f t="shared" si="2"/>
        <v>0.48571428571428571</v>
      </c>
      <c r="P46" s="1">
        <f t="shared" si="3"/>
        <v>0.41666666666666669</v>
      </c>
      <c r="Q46" s="1">
        <f t="shared" si="4"/>
        <v>0.26315789473684209</v>
      </c>
      <c r="R46" s="1">
        <f t="shared" si="5"/>
        <v>0.18902439024390244</v>
      </c>
      <c r="S46" s="1">
        <f t="shared" si="6"/>
        <v>0.375</v>
      </c>
      <c r="T46" s="1">
        <f t="shared" si="7"/>
        <v>2.2640459959823866</v>
      </c>
      <c r="V46" s="1">
        <f>Sheet4!AB46^2</f>
        <v>0.90601380695718692</v>
      </c>
      <c r="W46" s="1">
        <f>Sheet4!AC46^2</f>
        <v>2.3186559866467662E-3</v>
      </c>
      <c r="X46" s="1">
        <f t="shared" si="8"/>
        <v>52.548800803516841</v>
      </c>
      <c r="Y46" s="1">
        <f t="shared" si="9"/>
        <v>0.13448204722551244</v>
      </c>
      <c r="Z46" s="1">
        <f t="shared" si="16"/>
        <v>14466.436080235617</v>
      </c>
      <c r="AA46" s="1">
        <f t="shared" si="11"/>
        <v>14589.637517977937</v>
      </c>
      <c r="AB46" s="1">
        <f t="shared" si="12"/>
        <v>0.50212006342367421</v>
      </c>
      <c r="AC46" s="1">
        <f t="shared" si="13"/>
        <v>0.49787993657632579</v>
      </c>
      <c r="AD46" s="1">
        <f>ABS(AB46 - Sheet4!AB46)</f>
        <v>0.44972751206159589</v>
      </c>
      <c r="AF46" s="15">
        <f t="shared" si="14"/>
        <v>1</v>
      </c>
      <c r="AG46" s="15">
        <f t="shared" si="15"/>
        <v>1</v>
      </c>
    </row>
    <row r="47" spans="1:33" x14ac:dyDescent="0.3">
      <c r="A47" s="2">
        <v>202209</v>
      </c>
      <c r="B47" s="6">
        <v>44828</v>
      </c>
      <c r="C47" s="3">
        <v>57</v>
      </c>
      <c r="D47" s="3">
        <v>83</v>
      </c>
      <c r="E47" s="3">
        <v>50</v>
      </c>
      <c r="F47" s="3">
        <v>17</v>
      </c>
      <c r="G47" s="3">
        <v>39</v>
      </c>
      <c r="H47" s="3">
        <v>33</v>
      </c>
      <c r="I47" s="3">
        <v>83</v>
      </c>
      <c r="J47" s="3" t="s">
        <v>19</v>
      </c>
      <c r="K47" s="3" t="s">
        <v>20</v>
      </c>
      <c r="L47" s="3" t="s">
        <v>21</v>
      </c>
      <c r="N47" s="1">
        <f t="shared" si="1"/>
        <v>0.51724137931034486</v>
      </c>
      <c r="O47" s="1">
        <f t="shared" si="2"/>
        <v>0.38095238095238093</v>
      </c>
      <c r="P47" s="1">
        <f t="shared" si="3"/>
        <v>0.41666666666666669</v>
      </c>
      <c r="Q47" s="1">
        <f t="shared" si="4"/>
        <v>0.42105263157894735</v>
      </c>
      <c r="R47" s="1">
        <f t="shared" si="5"/>
        <v>0.13414634146341464</v>
      </c>
      <c r="S47" s="1">
        <f t="shared" si="6"/>
        <v>0.625</v>
      </c>
      <c r="T47" s="1">
        <f t="shared" si="7"/>
        <v>2.4950593999717543</v>
      </c>
      <c r="V47" s="1">
        <f>Sheet4!AB47^2</f>
        <v>0.76497880280653885</v>
      </c>
      <c r="W47" s="1">
        <f>Sheet4!AC47^2</f>
        <v>1.571746977875043E-2</v>
      </c>
      <c r="X47" s="1">
        <f t="shared" si="8"/>
        <v>43.603791759972715</v>
      </c>
      <c r="Y47" s="1">
        <f t="shared" si="9"/>
        <v>0.89589577738877446</v>
      </c>
      <c r="Z47" s="1">
        <f t="shared" si="16"/>
        <v>12299.099160863534</v>
      </c>
      <c r="AA47" s="1">
        <f t="shared" si="11"/>
        <v>12440.321214147472</v>
      </c>
      <c r="AB47" s="1">
        <f t="shared" si="12"/>
        <v>0.50285419082466842</v>
      </c>
      <c r="AC47" s="1">
        <f t="shared" si="13"/>
        <v>0.49714580917533158</v>
      </c>
      <c r="AD47" s="1">
        <f>ABS(AB47 - Sheet4!AB47)</f>
        <v>0.37177647568922578</v>
      </c>
      <c r="AF47" s="15">
        <f t="shared" si="14"/>
        <v>1</v>
      </c>
      <c r="AG47" s="15">
        <f t="shared" si="15"/>
        <v>1</v>
      </c>
    </row>
    <row r="48" spans="1:33" x14ac:dyDescent="0.3">
      <c r="A48" s="2">
        <v>202209</v>
      </c>
      <c r="B48" s="6">
        <v>44827</v>
      </c>
      <c r="C48" s="3">
        <v>73</v>
      </c>
      <c r="D48" s="3">
        <v>97</v>
      </c>
      <c r="E48" s="3">
        <v>50</v>
      </c>
      <c r="F48" s="3">
        <v>24</v>
      </c>
      <c r="G48" s="3">
        <v>50</v>
      </c>
      <c r="H48" s="3">
        <v>45</v>
      </c>
      <c r="I48" s="3">
        <v>97</v>
      </c>
      <c r="J48" s="3" t="s">
        <v>19</v>
      </c>
      <c r="K48" s="3" t="s">
        <v>20</v>
      </c>
      <c r="L48" s="3" t="s">
        <v>23</v>
      </c>
      <c r="N48" s="1">
        <f t="shared" si="1"/>
        <v>0.7931034482758621</v>
      </c>
      <c r="O48" s="1">
        <f t="shared" si="2"/>
        <v>0.51428571428571423</v>
      </c>
      <c r="P48" s="1">
        <f t="shared" si="3"/>
        <v>0.41666666666666669</v>
      </c>
      <c r="Q48" s="1">
        <f t="shared" si="4"/>
        <v>0.78947368421052633</v>
      </c>
      <c r="R48" s="1">
        <f t="shared" si="5"/>
        <v>0.20121951219512196</v>
      </c>
      <c r="S48" s="1">
        <f t="shared" si="6"/>
        <v>1</v>
      </c>
      <c r="T48" s="1">
        <f t="shared" si="7"/>
        <v>3.7147490256338913</v>
      </c>
      <c r="V48" s="1">
        <f>Sheet4!AB48^2</f>
        <v>0.63054722108796823</v>
      </c>
      <c r="W48" s="1">
        <f>Sheet4!AC48^2</f>
        <v>4.2407150328505026E-2</v>
      </c>
      <c r="X48" s="1">
        <f t="shared" si="8"/>
        <v>46.029947139421679</v>
      </c>
      <c r="Y48" s="1">
        <f t="shared" si="9"/>
        <v>3.0957219739808668</v>
      </c>
      <c r="Z48" s="1">
        <f t="shared" si="16"/>
        <v>17170.48987081684</v>
      </c>
      <c r="AA48" s="1">
        <f t="shared" si="11"/>
        <v>17023.382075434922</v>
      </c>
      <c r="AB48" s="1">
        <f t="shared" si="12"/>
        <v>0.49784891579969137</v>
      </c>
      <c r="AC48" s="1">
        <f t="shared" si="13"/>
        <v>0.50215108420030863</v>
      </c>
      <c r="AD48" s="1">
        <f>ABS(AB48 - Sheet4!AB48)</f>
        <v>0.29622111958004027</v>
      </c>
      <c r="AF48" s="15">
        <f t="shared" si="14"/>
        <v>2</v>
      </c>
      <c r="AG48" s="15">
        <f t="shared" si="15"/>
        <v>0</v>
      </c>
    </row>
    <row r="49" spans="1:33" x14ac:dyDescent="0.3">
      <c r="A49" s="2">
        <v>202209</v>
      </c>
      <c r="B49" s="6">
        <v>44826</v>
      </c>
      <c r="C49" s="3">
        <v>63</v>
      </c>
      <c r="D49" s="3">
        <v>90</v>
      </c>
      <c r="E49" s="3">
        <v>50</v>
      </c>
      <c r="F49" s="3">
        <v>16</v>
      </c>
      <c r="G49" s="3">
        <v>37</v>
      </c>
      <c r="H49" s="3">
        <v>24</v>
      </c>
      <c r="I49" s="3">
        <v>90</v>
      </c>
      <c r="J49" s="3" t="s">
        <v>19</v>
      </c>
      <c r="K49" s="3" t="s">
        <v>20</v>
      </c>
      <c r="L49" s="3" t="s">
        <v>24</v>
      </c>
      <c r="N49" s="1">
        <f t="shared" si="1"/>
        <v>0.62068965517241381</v>
      </c>
      <c r="O49" s="1">
        <f t="shared" si="2"/>
        <v>0.44761904761904764</v>
      </c>
      <c r="P49" s="1">
        <f t="shared" si="3"/>
        <v>0.41666666666666669</v>
      </c>
      <c r="Q49" s="1">
        <f t="shared" si="4"/>
        <v>0.36842105263157893</v>
      </c>
      <c r="R49" s="1">
        <f t="shared" si="5"/>
        <v>0.12195121951219512</v>
      </c>
      <c r="S49" s="1">
        <f t="shared" si="6"/>
        <v>0.34375</v>
      </c>
      <c r="T49" s="1">
        <f t="shared" si="7"/>
        <v>2.3190976416019025</v>
      </c>
      <c r="V49" s="1">
        <f>Sheet4!AB49^2</f>
        <v>0.78865782560390274</v>
      </c>
      <c r="W49" s="1">
        <f>Sheet4!AC49^2</f>
        <v>1.2529648242930024E-2</v>
      </c>
      <c r="X49" s="1">
        <f t="shared" si="8"/>
        <v>49.68544301304587</v>
      </c>
      <c r="Y49" s="1">
        <f t="shared" si="9"/>
        <v>0.78936783930459153</v>
      </c>
      <c r="Z49" s="1">
        <f t="shared" si="16"/>
        <v>12808.120677096025</v>
      </c>
      <c r="AA49" s="1">
        <f t="shared" si="11"/>
        <v>12841.219037130266</v>
      </c>
      <c r="AB49" s="1">
        <f t="shared" si="12"/>
        <v>0.50064520881244912</v>
      </c>
      <c r="AC49" s="1">
        <f t="shared" si="13"/>
        <v>0.49935479118755088</v>
      </c>
      <c r="AD49" s="1">
        <f>ABS(AB49 - Sheet4!AB49)</f>
        <v>0.38741887986803725</v>
      </c>
      <c r="AF49" s="15">
        <f t="shared" si="14"/>
        <v>1</v>
      </c>
      <c r="AG49" s="15">
        <f t="shared" si="15"/>
        <v>1</v>
      </c>
    </row>
    <row r="50" spans="1:33" ht="27.6" x14ac:dyDescent="0.3">
      <c r="A50" s="2">
        <v>202209</v>
      </c>
      <c r="B50" s="6">
        <v>44825</v>
      </c>
      <c r="C50" s="3">
        <v>69</v>
      </c>
      <c r="D50" s="3">
        <v>112</v>
      </c>
      <c r="E50" s="3">
        <v>50</v>
      </c>
      <c r="F50" s="3">
        <v>17</v>
      </c>
      <c r="G50" s="3">
        <v>42</v>
      </c>
      <c r="H50" s="3">
        <v>32</v>
      </c>
      <c r="I50" s="3">
        <v>112</v>
      </c>
      <c r="J50" s="3" t="s">
        <v>19</v>
      </c>
      <c r="K50" s="3" t="s">
        <v>22</v>
      </c>
      <c r="L50" s="3" t="s">
        <v>21</v>
      </c>
      <c r="N50" s="1">
        <f t="shared" si="1"/>
        <v>0.72413793103448276</v>
      </c>
      <c r="O50" s="1">
        <f t="shared" si="2"/>
        <v>0.65714285714285714</v>
      </c>
      <c r="P50" s="1">
        <f t="shared" si="3"/>
        <v>0.41666666666666669</v>
      </c>
      <c r="Q50" s="1">
        <f t="shared" si="4"/>
        <v>0.42105263157894735</v>
      </c>
      <c r="R50" s="1">
        <f t="shared" si="5"/>
        <v>0.1524390243902439</v>
      </c>
      <c r="S50" s="1">
        <f t="shared" si="6"/>
        <v>0.59375</v>
      </c>
      <c r="T50" s="1">
        <f t="shared" si="7"/>
        <v>2.9651891108131978</v>
      </c>
      <c r="V50" s="1">
        <f>Sheet4!AB50^2</f>
        <v>0.62165292843817699</v>
      </c>
      <c r="W50" s="1">
        <f>Sheet4!AC50^2</f>
        <v>4.4753529696231899E-2</v>
      </c>
      <c r="X50" s="1">
        <f t="shared" si="8"/>
        <v>42.894052062234209</v>
      </c>
      <c r="Y50" s="1">
        <f t="shared" si="9"/>
        <v>3.087993549040001</v>
      </c>
      <c r="Z50" s="1">
        <f t="shared" si="16"/>
        <v>18196.142193328516</v>
      </c>
      <c r="AA50" s="1">
        <f t="shared" si="11"/>
        <v>18121.116860113059</v>
      </c>
      <c r="AB50" s="1">
        <f t="shared" si="12"/>
        <v>0.49896708431237807</v>
      </c>
      <c r="AC50" s="1">
        <f t="shared" si="13"/>
        <v>0.50103291568762187</v>
      </c>
      <c r="AD50" s="1">
        <f>ABS(AB50 - Sheet4!AB50)</f>
        <v>0.28948261505859446</v>
      </c>
      <c r="AF50" s="15">
        <f t="shared" si="14"/>
        <v>2</v>
      </c>
      <c r="AG50" s="15">
        <f t="shared" si="15"/>
        <v>1</v>
      </c>
    </row>
    <row r="51" spans="1:33" ht="27.6" x14ac:dyDescent="0.3">
      <c r="A51" s="2">
        <v>202209</v>
      </c>
      <c r="B51" s="6">
        <v>44824</v>
      </c>
      <c r="C51" s="3">
        <v>66</v>
      </c>
      <c r="D51" s="3">
        <v>110</v>
      </c>
      <c r="E51" s="3">
        <v>51</v>
      </c>
      <c r="F51" s="3">
        <v>21</v>
      </c>
      <c r="G51" s="3">
        <v>37</v>
      </c>
      <c r="H51" s="3">
        <v>41</v>
      </c>
      <c r="I51" s="3">
        <v>110</v>
      </c>
      <c r="J51" s="3" t="s">
        <v>19</v>
      </c>
      <c r="K51" s="3" t="s">
        <v>22</v>
      </c>
      <c r="L51" s="3" t="s">
        <v>21</v>
      </c>
      <c r="N51" s="1">
        <f t="shared" si="1"/>
        <v>0.67241379310344829</v>
      </c>
      <c r="O51" s="1">
        <f t="shared" si="2"/>
        <v>0.63809523809523805</v>
      </c>
      <c r="P51" s="1">
        <f t="shared" si="3"/>
        <v>0.5</v>
      </c>
      <c r="Q51" s="1">
        <f t="shared" si="4"/>
        <v>0.63157894736842102</v>
      </c>
      <c r="R51" s="1">
        <f t="shared" si="5"/>
        <v>0.12195121951219512</v>
      </c>
      <c r="S51" s="1">
        <f t="shared" si="6"/>
        <v>0.875</v>
      </c>
      <c r="T51" s="1">
        <f t="shared" si="7"/>
        <v>3.4390391980793025</v>
      </c>
      <c r="V51" s="1">
        <f>Sheet4!AB51^2</f>
        <v>0.59574554064551832</v>
      </c>
      <c r="W51" s="1">
        <f>Sheet4!AC51^2</f>
        <v>5.2054456722937223E-2</v>
      </c>
      <c r="X51" s="1">
        <f t="shared" si="8"/>
        <v>39.319205682604206</v>
      </c>
      <c r="Y51" s="1">
        <f t="shared" si="9"/>
        <v>3.4355941437138569</v>
      </c>
      <c r="Z51" s="1">
        <f t="shared" si="16"/>
        <v>18224.131435212272</v>
      </c>
      <c r="AA51" s="1">
        <f t="shared" si="11"/>
        <v>18203.16794862166</v>
      </c>
      <c r="AB51" s="1">
        <f t="shared" si="12"/>
        <v>0.49971225582262191</v>
      </c>
      <c r="AC51" s="1">
        <f t="shared" si="13"/>
        <v>0.50028774417737809</v>
      </c>
      <c r="AD51" s="1">
        <f>ABS(AB51 - Sheet4!AB51)</f>
        <v>0.27213328613866861</v>
      </c>
      <c r="AF51" s="15">
        <f t="shared" si="14"/>
        <v>2</v>
      </c>
      <c r="AG51" s="15">
        <f t="shared" si="15"/>
        <v>1</v>
      </c>
    </row>
    <row r="52" spans="1:33" ht="27.6" x14ac:dyDescent="0.3">
      <c r="A52" s="2">
        <v>202209</v>
      </c>
      <c r="B52" s="6">
        <v>44823</v>
      </c>
      <c r="C52" s="3">
        <v>70</v>
      </c>
      <c r="D52" s="3">
        <v>113</v>
      </c>
      <c r="E52" s="3">
        <v>51</v>
      </c>
      <c r="F52" s="3">
        <v>17</v>
      </c>
      <c r="G52" s="3">
        <v>46</v>
      </c>
      <c r="H52" s="3">
        <v>28</v>
      </c>
      <c r="I52" s="3">
        <v>113</v>
      </c>
      <c r="J52" s="3" t="s">
        <v>19</v>
      </c>
      <c r="K52" s="3" t="s">
        <v>22</v>
      </c>
      <c r="L52" s="3" t="s">
        <v>21</v>
      </c>
      <c r="N52" s="1">
        <f t="shared" si="1"/>
        <v>0.74137931034482762</v>
      </c>
      <c r="O52" s="1">
        <f t="shared" si="2"/>
        <v>0.66666666666666663</v>
      </c>
      <c r="P52" s="1">
        <f t="shared" si="3"/>
        <v>0.5</v>
      </c>
      <c r="Q52" s="1">
        <f t="shared" si="4"/>
        <v>0.42105263157894735</v>
      </c>
      <c r="R52" s="1">
        <f t="shared" si="5"/>
        <v>0.17682926829268292</v>
      </c>
      <c r="S52" s="1">
        <f t="shared" si="6"/>
        <v>0.46875</v>
      </c>
      <c r="T52" s="1">
        <f t="shared" si="7"/>
        <v>2.9746778768831246</v>
      </c>
      <c r="V52" s="1">
        <f>Sheet4!AB52^2</f>
        <v>0.60687792899899129</v>
      </c>
      <c r="W52" s="1">
        <f>Sheet4!AC52^2</f>
        <v>4.8830524073208793E-2</v>
      </c>
      <c r="X52" s="1">
        <f t="shared" si="8"/>
        <v>42.481455029929393</v>
      </c>
      <c r="Y52" s="1">
        <f t="shared" si="9"/>
        <v>3.4181366851246153</v>
      </c>
      <c r="Z52" s="1">
        <f t="shared" si="16"/>
        <v>18652.479112700596</v>
      </c>
      <c r="AA52" s="1">
        <f t="shared" si="11"/>
        <v>18559.433163943526</v>
      </c>
      <c r="AB52" s="1">
        <f t="shared" si="12"/>
        <v>0.49874978275685833</v>
      </c>
      <c r="AC52" s="1">
        <f t="shared" si="13"/>
        <v>0.50125021724314167</v>
      </c>
      <c r="AD52" s="1">
        <f>ABS(AB52 - Sheet4!AB52)</f>
        <v>0.28027391970603288</v>
      </c>
      <c r="AF52" s="15">
        <f t="shared" si="14"/>
        <v>2</v>
      </c>
      <c r="AG52" s="15">
        <f t="shared" si="15"/>
        <v>1</v>
      </c>
    </row>
    <row r="53" spans="1:33" ht="27.6" x14ac:dyDescent="0.3">
      <c r="A53" s="2">
        <v>202209</v>
      </c>
      <c r="B53" s="6">
        <v>44822</v>
      </c>
      <c r="C53" s="3">
        <v>72</v>
      </c>
      <c r="D53" s="3">
        <v>113</v>
      </c>
      <c r="E53" s="3">
        <v>51</v>
      </c>
      <c r="F53" s="3">
        <v>21</v>
      </c>
      <c r="G53" s="3">
        <v>43</v>
      </c>
      <c r="H53" s="3">
        <v>33</v>
      </c>
      <c r="I53" s="3">
        <v>113</v>
      </c>
      <c r="J53" s="3" t="s">
        <v>19</v>
      </c>
      <c r="K53" s="3" t="s">
        <v>22</v>
      </c>
      <c r="L53" s="3" t="s">
        <v>21</v>
      </c>
      <c r="N53" s="1">
        <f t="shared" si="1"/>
        <v>0.77586206896551724</v>
      </c>
      <c r="O53" s="1">
        <f t="shared" si="2"/>
        <v>0.66666666666666663</v>
      </c>
      <c r="P53" s="1">
        <f t="shared" si="3"/>
        <v>0.5</v>
      </c>
      <c r="Q53" s="1">
        <f t="shared" si="4"/>
        <v>0.63157894736842102</v>
      </c>
      <c r="R53" s="1">
        <f t="shared" si="5"/>
        <v>0.15853658536585366</v>
      </c>
      <c r="S53" s="1">
        <f t="shared" si="6"/>
        <v>0.625</v>
      </c>
      <c r="T53" s="1">
        <f t="shared" si="7"/>
        <v>3.3576442683664589</v>
      </c>
      <c r="V53" s="1">
        <f>Sheet4!AB53^2</f>
        <v>0.57821334321469653</v>
      </c>
      <c r="W53" s="1">
        <f>Sheet4!AC53^2</f>
        <v>5.7406526798230648E-2</v>
      </c>
      <c r="X53" s="1">
        <f t="shared" si="8"/>
        <v>41.63136071145815</v>
      </c>
      <c r="Y53" s="1">
        <f t="shared" si="9"/>
        <v>4.1332699294726067</v>
      </c>
      <c r="Z53" s="1">
        <f t="shared" si="16"/>
        <v>18885.152951444761</v>
      </c>
      <c r="AA53" s="1">
        <f t="shared" si="11"/>
        <v>18756.065771604455</v>
      </c>
      <c r="AB53" s="1">
        <f t="shared" si="12"/>
        <v>0.49828529489453988</v>
      </c>
      <c r="AC53" s="1">
        <f t="shared" si="13"/>
        <v>0.50171470510546012</v>
      </c>
      <c r="AD53" s="1">
        <f>ABS(AB53 - Sheet4!AB53)</f>
        <v>0.26211811331369306</v>
      </c>
      <c r="AF53" s="15">
        <f t="shared" si="14"/>
        <v>2</v>
      </c>
      <c r="AG53" s="15">
        <f t="shared" si="15"/>
        <v>1</v>
      </c>
    </row>
    <row r="54" spans="1:33" ht="27.6" x14ac:dyDescent="0.3">
      <c r="A54" s="2">
        <v>202209</v>
      </c>
      <c r="B54" s="6">
        <v>44821</v>
      </c>
      <c r="C54" s="3">
        <v>70</v>
      </c>
      <c r="D54" s="3">
        <v>103</v>
      </c>
      <c r="E54" s="3">
        <v>51</v>
      </c>
      <c r="F54" s="3">
        <v>19</v>
      </c>
      <c r="G54" s="3">
        <v>49</v>
      </c>
      <c r="H54" s="3">
        <v>35</v>
      </c>
      <c r="I54" s="3">
        <v>103</v>
      </c>
      <c r="J54" s="3" t="s">
        <v>19</v>
      </c>
      <c r="K54" s="3" t="s">
        <v>22</v>
      </c>
      <c r="L54" s="3" t="s">
        <v>21</v>
      </c>
      <c r="N54" s="1">
        <f t="shared" si="1"/>
        <v>0.74137931034482762</v>
      </c>
      <c r="O54" s="1">
        <f t="shared" si="2"/>
        <v>0.5714285714285714</v>
      </c>
      <c r="P54" s="1">
        <f t="shared" si="3"/>
        <v>0.5</v>
      </c>
      <c r="Q54" s="1">
        <f t="shared" si="4"/>
        <v>0.52631578947368418</v>
      </c>
      <c r="R54" s="1">
        <f t="shared" si="5"/>
        <v>0.1951219512195122</v>
      </c>
      <c r="S54" s="1">
        <f t="shared" si="6"/>
        <v>0.6875</v>
      </c>
      <c r="T54" s="1">
        <f t="shared" si="7"/>
        <v>3.2217456224665955</v>
      </c>
      <c r="V54" s="1">
        <f>Sheet4!AB54^2</f>
        <v>0.75091325713867862</v>
      </c>
      <c r="W54" s="1">
        <f>Sheet4!AC54^2</f>
        <v>1.78082318863962E-2</v>
      </c>
      <c r="X54" s="1">
        <f t="shared" si="8"/>
        <v>52.563927999707502</v>
      </c>
      <c r="Y54" s="1">
        <f t="shared" si="9"/>
        <v>1.246576232047734</v>
      </c>
      <c r="Z54" s="1">
        <f t="shared" si="16"/>
        <v>17290.479112700596</v>
      </c>
      <c r="AA54" s="1">
        <f t="shared" si="11"/>
        <v>17197.433163943526</v>
      </c>
      <c r="AB54" s="1">
        <f t="shared" si="12"/>
        <v>0.4986510353539132</v>
      </c>
      <c r="AC54" s="1">
        <f t="shared" si="13"/>
        <v>0.5013489646460868</v>
      </c>
      <c r="AD54" s="1">
        <f>ABS(AB54 - Sheet4!AB54)</f>
        <v>0.36790147727222799</v>
      </c>
      <c r="AF54" s="15">
        <f t="shared" si="14"/>
        <v>2</v>
      </c>
      <c r="AG54" s="15">
        <f t="shared" si="15"/>
        <v>1</v>
      </c>
    </row>
    <row r="55" spans="1:33" x14ac:dyDescent="0.3">
      <c r="A55" s="2">
        <v>202209</v>
      </c>
      <c r="B55" s="6">
        <v>44820</v>
      </c>
      <c r="C55" s="3">
        <v>62</v>
      </c>
      <c r="D55" s="3">
        <v>100</v>
      </c>
      <c r="E55" s="3">
        <v>51</v>
      </c>
      <c r="F55" s="3">
        <v>18</v>
      </c>
      <c r="G55" s="3">
        <v>52</v>
      </c>
      <c r="H55" s="3">
        <v>33</v>
      </c>
      <c r="I55" s="3">
        <v>100</v>
      </c>
      <c r="J55" s="3" t="s">
        <v>19</v>
      </c>
      <c r="K55" s="3" t="s">
        <v>20</v>
      </c>
      <c r="L55" s="3" t="s">
        <v>21</v>
      </c>
      <c r="N55" s="1">
        <f t="shared" si="1"/>
        <v>0.60344827586206895</v>
      </c>
      <c r="O55" s="1">
        <f t="shared" si="2"/>
        <v>0.54285714285714282</v>
      </c>
      <c r="P55" s="1">
        <f t="shared" si="3"/>
        <v>0.5</v>
      </c>
      <c r="Q55" s="1">
        <f t="shared" si="4"/>
        <v>0.47368421052631576</v>
      </c>
      <c r="R55" s="1">
        <f t="shared" si="5"/>
        <v>0.21341463414634146</v>
      </c>
      <c r="S55" s="1">
        <f t="shared" si="6"/>
        <v>0.625</v>
      </c>
      <c r="T55" s="1">
        <f t="shared" si="7"/>
        <v>2.958404263391869</v>
      </c>
      <c r="V55" s="1">
        <f>Sheet4!AB55^2</f>
        <v>0.8794533797691434</v>
      </c>
      <c r="W55" s="1">
        <f>Sheet4!AC55^2</f>
        <v>3.8698654791042091E-3</v>
      </c>
      <c r="X55" s="1">
        <f t="shared" si="8"/>
        <v>54.526109545686893</v>
      </c>
      <c r="Y55" s="1">
        <f t="shared" si="9"/>
        <v>0.23993165970446095</v>
      </c>
      <c r="Z55" s="1">
        <f t="shared" si="16"/>
        <v>16720.783757723944</v>
      </c>
      <c r="AA55" s="1">
        <f t="shared" si="11"/>
        <v>16771.902733299801</v>
      </c>
      <c r="AB55" s="1">
        <f t="shared" si="12"/>
        <v>0.50076313638784331</v>
      </c>
      <c r="AC55" s="1">
        <f t="shared" si="13"/>
        <v>0.49923686361215669</v>
      </c>
      <c r="AD55" s="1">
        <f>ABS(AB55 - Sheet4!AB55)</f>
        <v>0.4370286207571763</v>
      </c>
      <c r="AF55" s="15">
        <f t="shared" si="14"/>
        <v>1</v>
      </c>
      <c r="AG55" s="15">
        <f t="shared" si="15"/>
        <v>1</v>
      </c>
    </row>
    <row r="56" spans="1:33" ht="27.6" x14ac:dyDescent="0.3">
      <c r="A56" s="2">
        <v>202209</v>
      </c>
      <c r="B56" s="6">
        <v>44819</v>
      </c>
      <c r="C56" s="3">
        <v>78</v>
      </c>
      <c r="D56" s="3">
        <v>117</v>
      </c>
      <c r="E56" s="3">
        <v>51</v>
      </c>
      <c r="F56" s="3">
        <v>26</v>
      </c>
      <c r="G56" s="3">
        <v>34</v>
      </c>
      <c r="H56" s="3">
        <v>39</v>
      </c>
      <c r="I56" s="3">
        <v>117</v>
      </c>
      <c r="J56" s="3" t="s">
        <v>19</v>
      </c>
      <c r="K56" s="3" t="s">
        <v>22</v>
      </c>
      <c r="L56" s="3" t="s">
        <v>21</v>
      </c>
      <c r="N56" s="1">
        <f t="shared" si="1"/>
        <v>0.87931034482758619</v>
      </c>
      <c r="O56" s="1">
        <f t="shared" si="2"/>
        <v>0.70476190476190481</v>
      </c>
      <c r="P56" s="1">
        <f t="shared" si="3"/>
        <v>0.5</v>
      </c>
      <c r="Q56" s="1">
        <f t="shared" si="4"/>
        <v>0.89473684210526316</v>
      </c>
      <c r="R56" s="1">
        <f t="shared" si="5"/>
        <v>0.10365853658536585</v>
      </c>
      <c r="S56" s="1">
        <f t="shared" si="6"/>
        <v>0.8125</v>
      </c>
      <c r="T56" s="1">
        <f t="shared" si="7"/>
        <v>3.8949676282801202</v>
      </c>
      <c r="V56" s="1">
        <f>Sheet4!AB56^2</f>
        <v>0.47884240638060999</v>
      </c>
      <c r="W56" s="1">
        <f>Sheet4!AC56^2</f>
        <v>9.487361138469684E-2</v>
      </c>
      <c r="X56" s="1">
        <f t="shared" si="8"/>
        <v>37.349707697687577</v>
      </c>
      <c r="Y56" s="1">
        <f t="shared" si="9"/>
        <v>7.4001416880063537</v>
      </c>
      <c r="Z56" s="1">
        <f t="shared" si="16"/>
        <v>19955.174467677251</v>
      </c>
      <c r="AA56" s="1">
        <f t="shared" si="11"/>
        <v>19717.963594587251</v>
      </c>
      <c r="AB56" s="1">
        <f t="shared" si="12"/>
        <v>0.4970104347087731</v>
      </c>
      <c r="AC56" s="1">
        <f t="shared" si="13"/>
        <v>0.50298956529122685</v>
      </c>
      <c r="AD56" s="1">
        <f>ABS(AB56 - Sheet4!AB56)</f>
        <v>0.1949739627891835</v>
      </c>
      <c r="AF56" s="15">
        <f t="shared" si="14"/>
        <v>2</v>
      </c>
      <c r="AG56" s="15">
        <f t="shared" si="15"/>
        <v>1</v>
      </c>
    </row>
    <row r="57" spans="1:33" ht="27.6" x14ac:dyDescent="0.3">
      <c r="A57" s="2">
        <v>202209</v>
      </c>
      <c r="B57" s="6">
        <v>44818</v>
      </c>
      <c r="C57" s="3">
        <v>67</v>
      </c>
      <c r="D57" s="3">
        <v>113</v>
      </c>
      <c r="E57" s="3">
        <v>53</v>
      </c>
      <c r="F57" s="3">
        <v>18</v>
      </c>
      <c r="G57" s="3">
        <v>42</v>
      </c>
      <c r="H57" s="3">
        <v>38</v>
      </c>
      <c r="I57" s="3">
        <v>113</v>
      </c>
      <c r="J57" s="3" t="s">
        <v>19</v>
      </c>
      <c r="K57" s="3" t="s">
        <v>22</v>
      </c>
      <c r="L57" s="3" t="s">
        <v>21</v>
      </c>
      <c r="N57" s="1">
        <f t="shared" si="1"/>
        <v>0.68965517241379315</v>
      </c>
      <c r="O57" s="1">
        <f t="shared" si="2"/>
        <v>0.66666666666666663</v>
      </c>
      <c r="P57" s="1">
        <f t="shared" si="3"/>
        <v>0.66666666666666663</v>
      </c>
      <c r="Q57" s="1">
        <f t="shared" si="4"/>
        <v>0.47368421052631576</v>
      </c>
      <c r="R57" s="1">
        <f t="shared" si="5"/>
        <v>0.1524390243902439</v>
      </c>
      <c r="S57" s="1">
        <f t="shared" si="6"/>
        <v>0.78125</v>
      </c>
      <c r="T57" s="1">
        <f t="shared" si="7"/>
        <v>3.4303617406636859</v>
      </c>
      <c r="V57" s="1">
        <f>Sheet4!AB57^2</f>
        <v>0.58585651336072975</v>
      </c>
      <c r="W57" s="1">
        <f>Sheet4!AC57^2</f>
        <v>5.5031228279862322E-2</v>
      </c>
      <c r="X57" s="1">
        <f t="shared" si="8"/>
        <v>39.252386395168891</v>
      </c>
      <c r="Y57" s="1">
        <f t="shared" si="9"/>
        <v>3.6870922947507756</v>
      </c>
      <c r="Z57" s="1">
        <f t="shared" si="16"/>
        <v>19154.468354584351</v>
      </c>
      <c r="AA57" s="1">
        <f t="shared" si="11"/>
        <v>19115.48425245213</v>
      </c>
      <c r="AB57" s="1">
        <f t="shared" si="12"/>
        <v>0.49949066957917981</v>
      </c>
      <c r="AC57" s="1">
        <f t="shared" si="13"/>
        <v>0.50050933042082013</v>
      </c>
      <c r="AD57" s="1">
        <f>ABS(AB57 - Sheet4!AB57)</f>
        <v>0.26592197296125392</v>
      </c>
      <c r="AF57" s="15">
        <f t="shared" si="14"/>
        <v>2</v>
      </c>
      <c r="AG57" s="15">
        <f t="shared" si="15"/>
        <v>1</v>
      </c>
    </row>
    <row r="58" spans="1:33" x14ac:dyDescent="0.3">
      <c r="A58" s="2">
        <v>202209</v>
      </c>
      <c r="B58" s="6">
        <v>44817</v>
      </c>
      <c r="C58" s="3">
        <v>59</v>
      </c>
      <c r="D58" s="3">
        <v>81</v>
      </c>
      <c r="E58" s="3">
        <v>52</v>
      </c>
      <c r="F58" s="3">
        <v>18</v>
      </c>
      <c r="G58" s="3">
        <v>45</v>
      </c>
      <c r="H58" s="3">
        <v>32</v>
      </c>
      <c r="I58" s="3">
        <v>81</v>
      </c>
      <c r="J58" s="3" t="s">
        <v>19</v>
      </c>
      <c r="K58" s="3" t="s">
        <v>20</v>
      </c>
      <c r="L58" s="3" t="s">
        <v>26</v>
      </c>
      <c r="N58" s="1">
        <f t="shared" si="1"/>
        <v>0.55172413793103448</v>
      </c>
      <c r="O58" s="1">
        <f t="shared" si="2"/>
        <v>0.3619047619047619</v>
      </c>
      <c r="P58" s="1">
        <f t="shared" si="3"/>
        <v>0.58333333333333337</v>
      </c>
      <c r="Q58" s="1">
        <f t="shared" si="4"/>
        <v>0.47368421052631576</v>
      </c>
      <c r="R58" s="1">
        <f t="shared" si="5"/>
        <v>0.17073170731707318</v>
      </c>
      <c r="S58" s="1">
        <f t="shared" si="6"/>
        <v>0.59375</v>
      </c>
      <c r="T58" s="1">
        <f t="shared" si="7"/>
        <v>2.7351281510125185</v>
      </c>
      <c r="V58" s="1">
        <f>Sheet4!AB58^2</f>
        <v>0.80271667656433499</v>
      </c>
      <c r="W58" s="1">
        <f>Sheet4!AC58^2</f>
        <v>1.0827532041901117E-2</v>
      </c>
      <c r="X58" s="1">
        <f t="shared" si="8"/>
        <v>47.360283917295767</v>
      </c>
      <c r="Y58" s="1">
        <f t="shared" si="9"/>
        <v>0.63882439047216588</v>
      </c>
      <c r="Z58" s="1">
        <f t="shared" si="16"/>
        <v>12639.7729996077</v>
      </c>
      <c r="AA58" s="1">
        <f t="shared" si="11"/>
        <v>12744.953821808404</v>
      </c>
      <c r="AB58" s="1">
        <f t="shared" si="12"/>
        <v>0.50207173437281127</v>
      </c>
      <c r="AC58" s="1">
        <f t="shared" si="13"/>
        <v>0.49792826562718873</v>
      </c>
      <c r="AD58" s="1">
        <f>ABS(AB58 - Sheet4!AB58)</f>
        <v>0.39387283788840566</v>
      </c>
      <c r="AF58" s="15">
        <f t="shared" si="14"/>
        <v>1</v>
      </c>
      <c r="AG58" s="15">
        <f t="shared" si="15"/>
        <v>1</v>
      </c>
    </row>
    <row r="59" spans="1:33" x14ac:dyDescent="0.3">
      <c r="A59" s="2">
        <v>202209</v>
      </c>
      <c r="B59" s="6">
        <v>44816</v>
      </c>
      <c r="C59" s="3">
        <v>53</v>
      </c>
      <c r="D59" s="3">
        <v>79</v>
      </c>
      <c r="E59" s="3">
        <v>52</v>
      </c>
      <c r="F59" s="3">
        <v>18</v>
      </c>
      <c r="G59" s="3">
        <v>35</v>
      </c>
      <c r="H59" s="3">
        <v>27</v>
      </c>
      <c r="I59" s="3">
        <v>79</v>
      </c>
      <c r="J59" s="3" t="s">
        <v>19</v>
      </c>
      <c r="K59" s="3" t="s">
        <v>20</v>
      </c>
      <c r="L59" s="3" t="s">
        <v>21</v>
      </c>
      <c r="N59" s="1">
        <f t="shared" si="1"/>
        <v>0.44827586206896552</v>
      </c>
      <c r="O59" s="1">
        <f t="shared" si="2"/>
        <v>0.34285714285714286</v>
      </c>
      <c r="P59" s="1">
        <f t="shared" si="3"/>
        <v>0.58333333333333337</v>
      </c>
      <c r="Q59" s="1">
        <f t="shared" si="4"/>
        <v>0.47368421052631576</v>
      </c>
      <c r="R59" s="1">
        <f t="shared" si="5"/>
        <v>0.10975609756097561</v>
      </c>
      <c r="S59" s="1">
        <f t="shared" si="6"/>
        <v>0.4375</v>
      </c>
      <c r="T59" s="1">
        <f t="shared" si="7"/>
        <v>2.3954066463467329</v>
      </c>
      <c r="V59" s="1">
        <f>Sheet4!AB59^2</f>
        <v>0.70943625799543386</v>
      </c>
      <c r="W59" s="1">
        <f>Sheet4!AC59^2</f>
        <v>2.4875474888532915E-2</v>
      </c>
      <c r="X59" s="1">
        <f t="shared" si="8"/>
        <v>37.600121673757997</v>
      </c>
      <c r="Y59" s="1">
        <f t="shared" si="9"/>
        <v>1.3184001690922444</v>
      </c>
      <c r="Z59" s="1">
        <f t="shared" si="16"/>
        <v>11276.751483375208</v>
      </c>
      <c r="AA59" s="1">
        <f t="shared" si="11"/>
        <v>11490.05599882561</v>
      </c>
      <c r="AB59" s="1">
        <f t="shared" si="12"/>
        <v>0.50468455042757232</v>
      </c>
      <c r="AC59" s="1">
        <f t="shared" si="13"/>
        <v>0.49531544957242768</v>
      </c>
      <c r="AD59" s="1">
        <f>ABS(AB59 - Sheet4!AB59)</f>
        <v>0.33759584112587815</v>
      </c>
      <c r="AF59" s="15">
        <f t="shared" si="14"/>
        <v>1</v>
      </c>
      <c r="AG59" s="15">
        <f t="shared" si="15"/>
        <v>1</v>
      </c>
    </row>
    <row r="60" spans="1:33" x14ac:dyDescent="0.3">
      <c r="A60" s="2">
        <v>202209</v>
      </c>
      <c r="B60" s="6">
        <v>44815</v>
      </c>
      <c r="C60" s="3">
        <v>64</v>
      </c>
      <c r="D60" s="3">
        <v>88</v>
      </c>
      <c r="E60" s="3">
        <v>51</v>
      </c>
      <c r="F60" s="3">
        <v>20</v>
      </c>
      <c r="G60" s="3">
        <v>37</v>
      </c>
      <c r="H60" s="3">
        <v>34</v>
      </c>
      <c r="I60" s="3">
        <v>88</v>
      </c>
      <c r="J60" s="3" t="s">
        <v>19</v>
      </c>
      <c r="K60" s="3" t="s">
        <v>20</v>
      </c>
      <c r="L60" s="3" t="s">
        <v>21</v>
      </c>
      <c r="N60" s="1">
        <f t="shared" si="1"/>
        <v>0.63793103448275867</v>
      </c>
      <c r="O60" s="1">
        <f t="shared" si="2"/>
        <v>0.42857142857142855</v>
      </c>
      <c r="P60" s="1">
        <f t="shared" si="3"/>
        <v>0.5</v>
      </c>
      <c r="Q60" s="1">
        <f t="shared" si="4"/>
        <v>0.57894736842105265</v>
      </c>
      <c r="R60" s="1">
        <f t="shared" si="5"/>
        <v>0.12195121951219512</v>
      </c>
      <c r="S60" s="1">
        <f t="shared" si="6"/>
        <v>0.65625</v>
      </c>
      <c r="T60" s="1">
        <f t="shared" si="7"/>
        <v>2.9236510509874352</v>
      </c>
      <c r="V60" s="1">
        <f>Sheet4!AB60^2</f>
        <v>0.76278256959344759</v>
      </c>
      <c r="W60" s="1">
        <f>Sheet4!AC60^2</f>
        <v>1.603408215348695E-2</v>
      </c>
      <c r="X60" s="1">
        <f t="shared" si="8"/>
        <v>48.818084453980646</v>
      </c>
      <c r="Y60" s="1">
        <f t="shared" si="9"/>
        <v>1.0261812578231648</v>
      </c>
      <c r="Z60" s="1">
        <f t="shared" si="16"/>
        <v>13283.457596468106</v>
      </c>
      <c r="AA60" s="1">
        <f t="shared" si="11"/>
        <v>13298.535340960731</v>
      </c>
      <c r="AB60" s="1">
        <f t="shared" si="12"/>
        <v>0.50028360824051299</v>
      </c>
      <c r="AC60" s="1">
        <f t="shared" si="13"/>
        <v>0.49971639175948701</v>
      </c>
      <c r="AD60" s="1">
        <f>ABS(AB60 - Sheet4!AB60)</f>
        <v>0.3730906354794673</v>
      </c>
      <c r="AF60" s="15">
        <f t="shared" si="14"/>
        <v>1</v>
      </c>
      <c r="AG60" s="15">
        <f t="shared" si="15"/>
        <v>1</v>
      </c>
    </row>
    <row r="61" spans="1:33" x14ac:dyDescent="0.3">
      <c r="A61" s="2">
        <v>202209</v>
      </c>
      <c r="B61" s="6">
        <v>44814</v>
      </c>
      <c r="C61" s="3">
        <v>56</v>
      </c>
      <c r="D61" s="3">
        <v>72</v>
      </c>
      <c r="E61" s="3">
        <v>48</v>
      </c>
      <c r="F61" s="3">
        <v>22</v>
      </c>
      <c r="G61" s="3">
        <v>41</v>
      </c>
      <c r="H61" s="3">
        <v>39</v>
      </c>
      <c r="I61" s="3">
        <v>72</v>
      </c>
      <c r="J61" s="3" t="s">
        <v>19</v>
      </c>
      <c r="K61" s="3" t="s">
        <v>20</v>
      </c>
      <c r="L61" s="3" t="s">
        <v>21</v>
      </c>
      <c r="N61" s="1">
        <f t="shared" si="1"/>
        <v>0.5</v>
      </c>
      <c r="O61" s="1">
        <f t="shared" si="2"/>
        <v>0.27619047619047621</v>
      </c>
      <c r="P61" s="1">
        <f t="shared" si="3"/>
        <v>0.25</v>
      </c>
      <c r="Q61" s="1">
        <f t="shared" si="4"/>
        <v>0.68421052631578949</v>
      </c>
      <c r="R61" s="1">
        <f t="shared" si="5"/>
        <v>0.14634146341463414</v>
      </c>
      <c r="S61" s="1">
        <f t="shared" si="6"/>
        <v>0.8125</v>
      </c>
      <c r="T61" s="1">
        <f t="shared" si="7"/>
        <v>2.6692424659208998</v>
      </c>
      <c r="V61" s="1">
        <f>Sheet4!AB61^2</f>
        <v>0.66218724268660256</v>
      </c>
      <c r="W61" s="1">
        <f>Sheet4!AC61^2</f>
        <v>3.4689479017966894E-2</v>
      </c>
      <c r="X61" s="1">
        <f t="shared" si="8"/>
        <v>37.082485590449743</v>
      </c>
      <c r="Y61" s="1">
        <f t="shared" si="9"/>
        <v>1.942610825006146</v>
      </c>
      <c r="Z61" s="1">
        <f t="shared" si="16"/>
        <v>11192.762241491453</v>
      </c>
      <c r="AA61" s="1">
        <f t="shared" si="11"/>
        <v>11352.004910317006</v>
      </c>
      <c r="AB61" s="1">
        <f t="shared" si="12"/>
        <v>0.50353169912453011</v>
      </c>
      <c r="AC61" s="1">
        <f t="shared" si="13"/>
        <v>0.49646830087546989</v>
      </c>
      <c r="AD61" s="1">
        <f>ABS(AB61 - Sheet4!AB61)</f>
        <v>0.31021718270978771</v>
      </c>
      <c r="AF61" s="15">
        <f t="shared" si="14"/>
        <v>1</v>
      </c>
      <c r="AG61" s="15">
        <f t="shared" si="15"/>
        <v>1</v>
      </c>
    </row>
    <row r="62" spans="1:33" x14ac:dyDescent="0.3">
      <c r="A62" s="2">
        <v>202209</v>
      </c>
      <c r="B62" s="6">
        <v>44813</v>
      </c>
      <c r="C62" s="3">
        <v>71</v>
      </c>
      <c r="D62" s="3">
        <v>91</v>
      </c>
      <c r="E62" s="3">
        <v>49</v>
      </c>
      <c r="F62" s="3">
        <v>28</v>
      </c>
      <c r="G62" s="3">
        <v>32</v>
      </c>
      <c r="H62" s="3">
        <v>43</v>
      </c>
      <c r="I62" s="3">
        <v>91</v>
      </c>
      <c r="J62" s="3" t="s">
        <v>19</v>
      </c>
      <c r="K62" s="3" t="s">
        <v>20</v>
      </c>
      <c r="L62" s="3" t="s">
        <v>24</v>
      </c>
      <c r="N62" s="1">
        <f t="shared" si="1"/>
        <v>0.75862068965517238</v>
      </c>
      <c r="O62" s="1">
        <f t="shared" si="2"/>
        <v>0.45714285714285713</v>
      </c>
      <c r="P62" s="1">
        <f t="shared" si="3"/>
        <v>0.33333333333333331</v>
      </c>
      <c r="Q62" s="1">
        <f t="shared" si="4"/>
        <v>1</v>
      </c>
      <c r="R62" s="1">
        <f t="shared" si="5"/>
        <v>9.1463414634146339E-2</v>
      </c>
      <c r="S62" s="1">
        <f t="shared" si="6"/>
        <v>0.9375</v>
      </c>
      <c r="T62" s="1">
        <f t="shared" si="7"/>
        <v>3.5780602947655091</v>
      </c>
      <c r="V62" s="1">
        <f>Sheet4!AB62^2</f>
        <v>0.62318297893357899</v>
      </c>
      <c r="W62" s="1">
        <f>Sheet4!AC62^2</f>
        <v>4.4344191807320202E-2</v>
      </c>
      <c r="X62" s="1">
        <f t="shared" si="8"/>
        <v>44.245991504284106</v>
      </c>
      <c r="Y62" s="1">
        <f t="shared" si="9"/>
        <v>3.1484376183197345</v>
      </c>
      <c r="Z62" s="1">
        <f t="shared" si="16"/>
        <v>14452.816032072678</v>
      </c>
      <c r="AA62" s="1">
        <f t="shared" si="11"/>
        <v>14341.749467773991</v>
      </c>
      <c r="AB62" s="1">
        <f t="shared" si="12"/>
        <v>0.49807139711312393</v>
      </c>
      <c r="AC62" s="1">
        <f t="shared" si="13"/>
        <v>0.50192860288687613</v>
      </c>
      <c r="AD62" s="1">
        <f>ABS(AB62 - Sheet4!AB62)</f>
        <v>0.29134799645000548</v>
      </c>
      <c r="AF62" s="15">
        <f t="shared" si="14"/>
        <v>2</v>
      </c>
      <c r="AG62" s="15">
        <f t="shared" si="15"/>
        <v>0</v>
      </c>
    </row>
    <row r="63" spans="1:33" x14ac:dyDescent="0.3">
      <c r="A63" s="2">
        <v>202209</v>
      </c>
      <c r="B63" s="6">
        <v>44812</v>
      </c>
      <c r="C63" s="3">
        <v>61</v>
      </c>
      <c r="D63" s="3">
        <v>87</v>
      </c>
      <c r="E63" s="3">
        <v>48</v>
      </c>
      <c r="F63" s="3">
        <v>26</v>
      </c>
      <c r="G63" s="3">
        <v>32</v>
      </c>
      <c r="H63" s="3">
        <v>45</v>
      </c>
      <c r="I63" s="3">
        <v>87</v>
      </c>
      <c r="J63" s="3" t="s">
        <v>19</v>
      </c>
      <c r="K63" s="3" t="s">
        <v>20</v>
      </c>
      <c r="L63" s="3" t="s">
        <v>21</v>
      </c>
      <c r="N63" s="1">
        <f t="shared" si="1"/>
        <v>0.58620689655172409</v>
      </c>
      <c r="O63" s="1">
        <f t="shared" si="2"/>
        <v>0.41904761904761906</v>
      </c>
      <c r="P63" s="1">
        <f t="shared" si="3"/>
        <v>0.25</v>
      </c>
      <c r="Q63" s="1">
        <f t="shared" si="4"/>
        <v>0.89473684210526316</v>
      </c>
      <c r="R63" s="1">
        <f t="shared" si="5"/>
        <v>9.1463414634146339E-2</v>
      </c>
      <c r="S63" s="1">
        <f t="shared" si="6"/>
        <v>1</v>
      </c>
      <c r="T63" s="1">
        <f t="shared" si="7"/>
        <v>3.2414547723387526</v>
      </c>
      <c r="V63" s="1">
        <f>Sheet4!AB63^2</f>
        <v>0.63900631323885648</v>
      </c>
      <c r="W63" s="1">
        <f>Sheet4!AC63^2</f>
        <v>4.0248904200378875E-2</v>
      </c>
      <c r="X63" s="1">
        <f t="shared" si="8"/>
        <v>38.979385107570245</v>
      </c>
      <c r="Y63" s="1">
        <f t="shared" si="9"/>
        <v>2.4551831562231112</v>
      </c>
      <c r="Z63" s="1">
        <f t="shared" si="16"/>
        <v>13598.446838351862</v>
      </c>
      <c r="AA63" s="1">
        <f t="shared" si="11"/>
        <v>13667.586429469335</v>
      </c>
      <c r="AB63" s="1">
        <f t="shared" si="12"/>
        <v>0.50126787036526999</v>
      </c>
      <c r="AC63" s="1">
        <f t="shared" si="13"/>
        <v>0.49873212963473001</v>
      </c>
      <c r="AD63" s="1">
        <f>ABS(AB63 - Sheet4!AB63)</f>
        <v>0.29811083415396877</v>
      </c>
      <c r="AF63" s="15">
        <f t="shared" si="14"/>
        <v>1</v>
      </c>
      <c r="AG63" s="15">
        <f t="shared" si="15"/>
        <v>1</v>
      </c>
    </row>
    <row r="64" spans="1:33" x14ac:dyDescent="0.3">
      <c r="A64" s="2">
        <v>202209</v>
      </c>
      <c r="B64" s="6">
        <v>44811</v>
      </c>
      <c r="C64" s="3">
        <v>55</v>
      </c>
      <c r="D64" s="3">
        <v>79</v>
      </c>
      <c r="E64" s="3">
        <v>49</v>
      </c>
      <c r="F64" s="3">
        <v>15</v>
      </c>
      <c r="G64" s="3">
        <v>38</v>
      </c>
      <c r="H64" s="3">
        <v>21</v>
      </c>
      <c r="I64" s="3">
        <v>79</v>
      </c>
      <c r="J64" s="3" t="s">
        <v>19</v>
      </c>
      <c r="K64" s="3" t="s">
        <v>20</v>
      </c>
      <c r="L64" s="3" t="s">
        <v>21</v>
      </c>
      <c r="N64" s="1">
        <f t="shared" si="1"/>
        <v>0.48275862068965519</v>
      </c>
      <c r="O64" s="1">
        <f t="shared" si="2"/>
        <v>0.34285714285714286</v>
      </c>
      <c r="P64" s="1">
        <f t="shared" si="3"/>
        <v>0.33333333333333331</v>
      </c>
      <c r="Q64" s="1">
        <f t="shared" si="4"/>
        <v>0.31578947368421051</v>
      </c>
      <c r="R64" s="1">
        <f t="shared" si="5"/>
        <v>0.12804878048780488</v>
      </c>
      <c r="S64" s="1">
        <f t="shared" si="6"/>
        <v>0.25</v>
      </c>
      <c r="T64" s="1">
        <f t="shared" si="7"/>
        <v>1.8527873510521466</v>
      </c>
      <c r="V64" s="1">
        <f>Sheet4!AB64^2</f>
        <v>0.72870588093666555</v>
      </c>
      <c r="W64" s="1">
        <f>Sheet4!AC64^2</f>
        <v>2.1420455547383348E-2</v>
      </c>
      <c r="X64" s="1">
        <f t="shared" si="8"/>
        <v>40.078823451516605</v>
      </c>
      <c r="Y64" s="1">
        <f t="shared" si="9"/>
        <v>1.1781250551060842</v>
      </c>
      <c r="Z64" s="1">
        <f t="shared" si="16"/>
        <v>10780.425322119372</v>
      </c>
      <c r="AA64" s="1">
        <f t="shared" si="11"/>
        <v>10957.688606486541</v>
      </c>
      <c r="AB64" s="1">
        <f t="shared" si="12"/>
        <v>0.50407724618955796</v>
      </c>
      <c r="AC64" s="1">
        <f t="shared" si="13"/>
        <v>0.49592275381044204</v>
      </c>
      <c r="AD64" s="1">
        <f>ABS(AB64 - Sheet4!AB64)</f>
        <v>0.34956546650508313</v>
      </c>
      <c r="AF64" s="15">
        <f t="shared" si="14"/>
        <v>1</v>
      </c>
      <c r="AG64" s="15">
        <f t="shared" si="15"/>
        <v>1</v>
      </c>
    </row>
    <row r="65" spans="1:33" x14ac:dyDescent="0.3">
      <c r="A65" s="2">
        <v>202209</v>
      </c>
      <c r="B65" s="6">
        <v>44810</v>
      </c>
      <c r="C65" s="3">
        <v>63</v>
      </c>
      <c r="D65" s="3">
        <v>86</v>
      </c>
      <c r="E65" s="3">
        <v>51</v>
      </c>
      <c r="F65" s="3">
        <v>12</v>
      </c>
      <c r="G65" s="3">
        <v>43</v>
      </c>
      <c r="H65" s="3">
        <v>17</v>
      </c>
      <c r="I65" s="3">
        <v>86</v>
      </c>
      <c r="J65" s="3" t="s">
        <v>19</v>
      </c>
      <c r="K65" s="3" t="s">
        <v>20</v>
      </c>
      <c r="L65" s="3" t="s">
        <v>21</v>
      </c>
      <c r="N65" s="1">
        <f t="shared" si="1"/>
        <v>0.62068965517241381</v>
      </c>
      <c r="O65" s="1">
        <f t="shared" si="2"/>
        <v>0.40952380952380951</v>
      </c>
      <c r="P65" s="1">
        <f t="shared" si="3"/>
        <v>0.5</v>
      </c>
      <c r="Q65" s="1">
        <f t="shared" si="4"/>
        <v>0.15789473684210525</v>
      </c>
      <c r="R65" s="1">
        <f t="shared" si="5"/>
        <v>0.15853658536585366</v>
      </c>
      <c r="S65" s="1">
        <f t="shared" si="6"/>
        <v>0.125</v>
      </c>
      <c r="T65" s="1">
        <f t="shared" si="7"/>
        <v>1.9716447869041822</v>
      </c>
      <c r="V65" s="1">
        <f>Sheet4!AB65^2</f>
        <v>0.79236249787721014</v>
      </c>
      <c r="W65" s="1">
        <f>Sheet4!AC65^2</f>
        <v>1.2067580873614191E-2</v>
      </c>
      <c r="X65" s="1">
        <f t="shared" si="8"/>
        <v>49.918837366264242</v>
      </c>
      <c r="Y65" s="1">
        <f t="shared" si="9"/>
        <v>0.76025759503769408</v>
      </c>
      <c r="Z65" s="1">
        <f t="shared" si="16"/>
        <v>12286.120677096025</v>
      </c>
      <c r="AA65" s="1">
        <f t="shared" si="11"/>
        <v>12319.219037130266</v>
      </c>
      <c r="AB65" s="1">
        <f t="shared" si="12"/>
        <v>0.50067258490268074</v>
      </c>
      <c r="AC65" s="1">
        <f t="shared" si="13"/>
        <v>0.49932741509731926</v>
      </c>
      <c r="AD65" s="1">
        <f>ABS(AB65 - Sheet4!AB65)</f>
        <v>0.38947487359911726</v>
      </c>
      <c r="AF65" s="15">
        <f t="shared" si="14"/>
        <v>1</v>
      </c>
      <c r="AG65" s="15">
        <f t="shared" si="15"/>
        <v>1</v>
      </c>
    </row>
    <row r="66" spans="1:33" ht="27.6" x14ac:dyDescent="0.3">
      <c r="A66" s="2">
        <v>202209</v>
      </c>
      <c r="B66" s="6">
        <v>44809</v>
      </c>
      <c r="C66" s="3">
        <v>59</v>
      </c>
      <c r="D66" s="3">
        <v>105</v>
      </c>
      <c r="E66" s="3">
        <v>51</v>
      </c>
      <c r="F66" s="3">
        <v>15</v>
      </c>
      <c r="G66" s="3">
        <v>45</v>
      </c>
      <c r="H66" s="3">
        <v>23</v>
      </c>
      <c r="I66" s="3">
        <v>105</v>
      </c>
      <c r="J66" s="3" t="s">
        <v>19</v>
      </c>
      <c r="K66" s="3" t="s">
        <v>22</v>
      </c>
      <c r="L66" s="3" t="s">
        <v>21</v>
      </c>
      <c r="N66" s="1">
        <f t="shared" si="1"/>
        <v>0.55172413793103448</v>
      </c>
      <c r="O66" s="1">
        <f t="shared" si="2"/>
        <v>0.59047619047619049</v>
      </c>
      <c r="P66" s="1">
        <f t="shared" si="3"/>
        <v>0.5</v>
      </c>
      <c r="Q66" s="1">
        <f t="shared" si="4"/>
        <v>0.31578947368421051</v>
      </c>
      <c r="R66" s="1">
        <f t="shared" si="5"/>
        <v>0.17073170731707318</v>
      </c>
      <c r="S66" s="1">
        <f t="shared" si="6"/>
        <v>0.3125</v>
      </c>
      <c r="T66" s="1">
        <f t="shared" si="7"/>
        <v>2.4412215094085088</v>
      </c>
      <c r="V66" s="1">
        <f>Sheet4!AB66^2</f>
        <v>0.77093934129982078</v>
      </c>
      <c r="W66" s="1">
        <f>Sheet4!AC66^2</f>
        <v>1.487631133783132E-2</v>
      </c>
      <c r="X66" s="1">
        <f t="shared" si="8"/>
        <v>45.485421136689425</v>
      </c>
      <c r="Y66" s="1">
        <f t="shared" si="9"/>
        <v>0.87770236893204789</v>
      </c>
      <c r="Z66" s="1">
        <f t="shared" si="16"/>
        <v>16406.772999607696</v>
      </c>
      <c r="AA66" s="1">
        <f t="shared" si="11"/>
        <v>16511.953821808405</v>
      </c>
      <c r="AB66" s="1">
        <f t="shared" si="12"/>
        <v>0.50159758338728155</v>
      </c>
      <c r="AC66" s="1">
        <f t="shared" si="13"/>
        <v>0.49840241661271845</v>
      </c>
      <c r="AD66" s="1">
        <f>ABS(AB66 - Sheet4!AB66)</f>
        <v>0.37643393159371319</v>
      </c>
      <c r="AF66" s="15">
        <f t="shared" si="14"/>
        <v>1</v>
      </c>
      <c r="AG66" s="15">
        <f t="shared" si="15"/>
        <v>0</v>
      </c>
    </row>
    <row r="67" spans="1:33" x14ac:dyDescent="0.3">
      <c r="A67" s="2">
        <v>202209</v>
      </c>
      <c r="B67" s="6">
        <v>44808</v>
      </c>
      <c r="C67" s="3">
        <v>42</v>
      </c>
      <c r="D67" s="3">
        <v>76</v>
      </c>
      <c r="E67" s="3">
        <v>50</v>
      </c>
      <c r="F67" s="3">
        <v>9</v>
      </c>
      <c r="G67" s="3">
        <v>33</v>
      </c>
      <c r="H67" s="3">
        <v>14</v>
      </c>
      <c r="I67" s="3">
        <v>76</v>
      </c>
      <c r="J67" s="3" t="s">
        <v>19</v>
      </c>
      <c r="K67" s="3" t="s">
        <v>20</v>
      </c>
      <c r="L67" s="3" t="s">
        <v>21</v>
      </c>
      <c r="N67" s="1">
        <f t="shared" ref="N67:N98" si="17">(C67-MIN(C$2:C$99))/(MAX(C$2:C$99)-MIN(C$2:C$99))</f>
        <v>0.25862068965517243</v>
      </c>
      <c r="O67" s="1">
        <f t="shared" ref="O67:O98" si="18">(D67-MIN(D$2:D$99))/(MAX(D$2:D$99)-MIN(D$2:D$99))</f>
        <v>0.31428571428571428</v>
      </c>
      <c r="P67" s="1">
        <f t="shared" ref="P67:P98" si="19">(E67-MIN(E$2:E$99))/(MAX(E$2:E$99)-MIN(E$2:E$99))</f>
        <v>0.41666666666666669</v>
      </c>
      <c r="Q67" s="1">
        <f t="shared" ref="Q67:Q98" si="20">(F67-MIN(F$2:F$99))/(MAX(F$2:F$99)-MIN(F$2:F$99))</f>
        <v>0</v>
      </c>
      <c r="R67" s="1">
        <f t="shared" ref="R67:R98" si="21">(G67-MIN(G$2:G$99))/(MAX(G$2:G$99)-MIN(G$2:G$99))</f>
        <v>9.7560975609756101E-2</v>
      </c>
      <c r="S67" s="1">
        <f t="shared" ref="S67:S98" si="22">(H67-MIN(H$2:H$99))/(MAX(H$2:H$99)-MIN(H$2:H$99))</f>
        <v>3.125E-2</v>
      </c>
      <c r="T67" s="1">
        <f t="shared" ref="T67:T98" si="23">SUM(N67:S67)</f>
        <v>1.1183840462173096</v>
      </c>
      <c r="V67" s="1">
        <f>Sheet4!AB67^2</f>
        <v>0.60405931730714935</v>
      </c>
      <c r="W67" s="1">
        <f>Sheet4!AC67^2</f>
        <v>4.9634256640473974E-2</v>
      </c>
      <c r="X67" s="1">
        <f t="shared" ref="X67:X98" si="24">V67 * C67</f>
        <v>25.370491326900272</v>
      </c>
      <c r="Y67" s="1">
        <f t="shared" ref="Y67:Y98" si="25">W67 * C67</f>
        <v>2.0846387788999068</v>
      </c>
      <c r="Z67" s="1">
        <f t="shared" ref="Z67:Z98" si="26">(C67-$C$102)^2 + (D67-$D$102)^2 + (E67-$E$102)^2 + (F67-$F$102)^2 + (G67-$G$102)^2 + (H67-$H$102)^2</f>
        <v>9978.0453702823106</v>
      </c>
      <c r="AA67" s="1">
        <f t="shared" ref="AA67:AA98" si="27">(C67-$C$103)^2 + (D67-$D$103)^2 + (E67-$E$103)^2 + (F67-$F$103)^2 + (G67-$G$103)^2 + (H67-$H$103)^2</f>
        <v>10389.576656690489</v>
      </c>
      <c r="AB67" s="1">
        <f t="shared" ref="AB67:AB98" si="28">(1/Z67) / ((1/Z67) + (1/AA67))</f>
        <v>0.51010258551202459</v>
      </c>
      <c r="AC67" s="1">
        <f t="shared" ref="AC67:AC98" si="29">1 - AB67</f>
        <v>0.48989741448797541</v>
      </c>
      <c r="AD67" s="1">
        <f>ABS(AB67 - Sheet4!AB67)</f>
        <v>0.26710994482131312</v>
      </c>
      <c r="AF67" s="15">
        <f t="shared" ref="AF67:AF99" si="30">IF(AB67 &gt; AC67, 1, 2)</f>
        <v>1</v>
      </c>
      <c r="AG67" s="15">
        <f t="shared" ref="AG67:AG99" si="31">IF(OR(AND(AF67=1, K67="SEDANG"), AND(AF67=2, K67="TIDAK SEHAT")), 1, 0)</f>
        <v>1</v>
      </c>
    </row>
    <row r="68" spans="1:33" ht="27.6" x14ac:dyDescent="0.3">
      <c r="A68" s="2">
        <v>202209</v>
      </c>
      <c r="B68" s="6">
        <v>44807</v>
      </c>
      <c r="C68" s="3">
        <v>64</v>
      </c>
      <c r="D68" s="3">
        <v>102</v>
      </c>
      <c r="E68" s="3">
        <v>50</v>
      </c>
      <c r="F68" s="3">
        <v>18</v>
      </c>
      <c r="G68" s="3">
        <v>37</v>
      </c>
      <c r="H68" s="3">
        <v>31</v>
      </c>
      <c r="I68" s="3">
        <v>102</v>
      </c>
      <c r="J68" s="3" t="s">
        <v>19</v>
      </c>
      <c r="K68" s="3" t="s">
        <v>22</v>
      </c>
      <c r="L68" s="3" t="s">
        <v>21</v>
      </c>
      <c r="N68" s="1">
        <f t="shared" si="17"/>
        <v>0.63793103448275867</v>
      </c>
      <c r="O68" s="1">
        <f t="shared" si="18"/>
        <v>0.56190476190476191</v>
      </c>
      <c r="P68" s="1">
        <f t="shared" si="19"/>
        <v>0.41666666666666669</v>
      </c>
      <c r="Q68" s="1">
        <f t="shared" si="20"/>
        <v>0.47368421052631576</v>
      </c>
      <c r="R68" s="1">
        <f t="shared" si="21"/>
        <v>0.12195121951219512</v>
      </c>
      <c r="S68" s="1">
        <f t="shared" si="22"/>
        <v>0.5625</v>
      </c>
      <c r="T68" s="1">
        <f t="shared" si="23"/>
        <v>2.7746378930926983</v>
      </c>
      <c r="V68" s="1">
        <f>Sheet4!AB68^2</f>
        <v>0.73609331328187566</v>
      </c>
      <c r="W68" s="1">
        <f>Sheet4!AC68^2</f>
        <v>2.0175700711999752E-2</v>
      </c>
      <c r="X68" s="1">
        <f t="shared" si="24"/>
        <v>47.109972050040042</v>
      </c>
      <c r="Y68" s="1">
        <f t="shared" si="25"/>
        <v>1.2912448455679841</v>
      </c>
      <c r="Z68" s="1">
        <f t="shared" si="26"/>
        <v>15571.457596468106</v>
      </c>
      <c r="AA68" s="1">
        <f t="shared" si="27"/>
        <v>15586.535340960731</v>
      </c>
      <c r="AB68" s="1">
        <f t="shared" si="28"/>
        <v>0.5002419562858702</v>
      </c>
      <c r="AC68" s="1">
        <f t="shared" si="29"/>
        <v>0.4997580437141298</v>
      </c>
      <c r="AD68" s="1">
        <f>ABS(AB68 - Sheet4!AB68)</f>
        <v>0.35771684999906772</v>
      </c>
      <c r="AF68" s="15">
        <f t="shared" si="30"/>
        <v>1</v>
      </c>
      <c r="AG68" s="15">
        <f t="shared" si="31"/>
        <v>0</v>
      </c>
    </row>
    <row r="69" spans="1:33" ht="27.6" x14ac:dyDescent="0.3">
      <c r="A69" s="2">
        <v>202209</v>
      </c>
      <c r="B69" s="6">
        <v>44806</v>
      </c>
      <c r="C69" s="3">
        <v>71</v>
      </c>
      <c r="D69" s="3">
        <v>108</v>
      </c>
      <c r="E69" s="3">
        <v>51</v>
      </c>
      <c r="F69" s="3">
        <v>21</v>
      </c>
      <c r="G69" s="3">
        <v>35</v>
      </c>
      <c r="H69" s="3">
        <v>32</v>
      </c>
      <c r="I69" s="3">
        <v>108</v>
      </c>
      <c r="J69" s="3" t="s">
        <v>19</v>
      </c>
      <c r="K69" s="3" t="s">
        <v>22</v>
      </c>
      <c r="L69" s="3" t="s">
        <v>21</v>
      </c>
      <c r="N69" s="1">
        <f t="shared" si="17"/>
        <v>0.75862068965517238</v>
      </c>
      <c r="O69" s="1">
        <f t="shared" si="18"/>
        <v>0.61904761904761907</v>
      </c>
      <c r="P69" s="1">
        <f t="shared" si="19"/>
        <v>0.5</v>
      </c>
      <c r="Q69" s="1">
        <f t="shared" si="20"/>
        <v>0.63157894736842102</v>
      </c>
      <c r="R69" s="1">
        <f t="shared" si="21"/>
        <v>0.10975609756097561</v>
      </c>
      <c r="S69" s="1">
        <f t="shared" si="22"/>
        <v>0.59375</v>
      </c>
      <c r="T69" s="1">
        <f t="shared" si="23"/>
        <v>3.2127533536321882</v>
      </c>
      <c r="V69" s="1">
        <f>Sheet4!AB69^2</f>
        <v>0.62912590587771533</v>
      </c>
      <c r="W69" s="1">
        <f>Sheet4!AC69^2</f>
        <v>4.2776756569511735E-2</v>
      </c>
      <c r="X69" s="1">
        <f t="shared" si="24"/>
        <v>44.667939317317789</v>
      </c>
      <c r="Y69" s="1">
        <f t="shared" si="25"/>
        <v>3.0371497164353332</v>
      </c>
      <c r="Z69" s="1">
        <f t="shared" si="26"/>
        <v>17068.816032072678</v>
      </c>
      <c r="AA69" s="1">
        <f t="shared" si="27"/>
        <v>16957.749467773989</v>
      </c>
      <c r="AB69" s="1">
        <f t="shared" si="28"/>
        <v>0.49836794336032547</v>
      </c>
      <c r="AC69" s="1">
        <f t="shared" si="29"/>
        <v>0.50163205663967458</v>
      </c>
      <c r="AD69" s="1">
        <f>ABS(AB69 - Sheet4!AB69)</f>
        <v>0.29480663129377632</v>
      </c>
      <c r="AF69" s="15">
        <f t="shared" si="30"/>
        <v>2</v>
      </c>
      <c r="AG69" s="15">
        <f t="shared" si="31"/>
        <v>1</v>
      </c>
    </row>
    <row r="70" spans="1:33" x14ac:dyDescent="0.3">
      <c r="A70" s="2">
        <v>202210</v>
      </c>
      <c r="B70" s="6">
        <v>44860</v>
      </c>
      <c r="C70" s="3">
        <v>39</v>
      </c>
      <c r="D70" s="3">
        <v>43</v>
      </c>
      <c r="E70" s="3">
        <v>51</v>
      </c>
      <c r="F70" s="3">
        <v>11</v>
      </c>
      <c r="G70" s="3">
        <v>27</v>
      </c>
      <c r="H70" s="3">
        <v>17</v>
      </c>
      <c r="I70" s="3">
        <v>51</v>
      </c>
      <c r="J70" s="3" t="s">
        <v>27</v>
      </c>
      <c r="K70" s="3" t="s">
        <v>20</v>
      </c>
      <c r="L70" s="3" t="s">
        <v>21</v>
      </c>
      <c r="N70" s="1">
        <f t="shared" si="17"/>
        <v>0.20689655172413793</v>
      </c>
      <c r="O70" s="1">
        <f t="shared" si="18"/>
        <v>0</v>
      </c>
      <c r="P70" s="1">
        <f t="shared" si="19"/>
        <v>0.5</v>
      </c>
      <c r="Q70" s="1">
        <f t="shared" si="20"/>
        <v>0.10526315789473684</v>
      </c>
      <c r="R70" s="1">
        <f t="shared" si="21"/>
        <v>6.097560975609756E-2</v>
      </c>
      <c r="S70" s="1">
        <f t="shared" si="22"/>
        <v>0.125</v>
      </c>
      <c r="T70" s="1">
        <f t="shared" si="23"/>
        <v>0.99813531937497224</v>
      </c>
      <c r="V70" s="1">
        <f>Sheet4!AB70^2</f>
        <v>0.48225197366946371</v>
      </c>
      <c r="W70" s="1">
        <f>Sheet4!AC70^2</f>
        <v>9.3364687141915842E-2</v>
      </c>
      <c r="X70" s="1">
        <f t="shared" si="24"/>
        <v>18.807826973109083</v>
      </c>
      <c r="Y70" s="1">
        <f t="shared" si="25"/>
        <v>3.6412227985347179</v>
      </c>
      <c r="Z70" s="1">
        <f t="shared" si="26"/>
        <v>6044.034612166065</v>
      </c>
      <c r="AA70" s="1">
        <f t="shared" si="27"/>
        <v>6509.6277451990918</v>
      </c>
      <c r="AB70" s="1">
        <f t="shared" si="28"/>
        <v>0.51854411564446246</v>
      </c>
      <c r="AC70" s="1">
        <f t="shared" si="29"/>
        <v>0.48145588435553754</v>
      </c>
      <c r="AD70" s="1">
        <f>ABS(AB70 - Sheet4!AB70)</f>
        <v>0.17589952761931149</v>
      </c>
      <c r="AF70" s="15">
        <f t="shared" si="30"/>
        <v>1</v>
      </c>
      <c r="AG70" s="15">
        <f t="shared" si="31"/>
        <v>1</v>
      </c>
    </row>
    <row r="71" spans="1:33" x14ac:dyDescent="0.3">
      <c r="A71" s="2">
        <v>202210</v>
      </c>
      <c r="B71" s="6">
        <v>44859</v>
      </c>
      <c r="C71" s="3">
        <v>27</v>
      </c>
      <c r="D71" s="3">
        <v>53</v>
      </c>
      <c r="E71" s="3">
        <v>51</v>
      </c>
      <c r="F71" s="3">
        <v>9</v>
      </c>
      <c r="G71" s="3">
        <v>30</v>
      </c>
      <c r="H71" s="3">
        <v>19</v>
      </c>
      <c r="I71" s="3">
        <v>53</v>
      </c>
      <c r="J71" s="3" t="s">
        <v>19</v>
      </c>
      <c r="K71" s="3" t="s">
        <v>20</v>
      </c>
      <c r="L71" s="3" t="s">
        <v>23</v>
      </c>
      <c r="N71" s="1">
        <f t="shared" si="17"/>
        <v>0</v>
      </c>
      <c r="O71" s="1">
        <f t="shared" si="18"/>
        <v>9.5238095238095233E-2</v>
      </c>
      <c r="P71" s="1">
        <f t="shared" si="19"/>
        <v>0.5</v>
      </c>
      <c r="Q71" s="1">
        <f t="shared" si="20"/>
        <v>0</v>
      </c>
      <c r="R71" s="1">
        <f t="shared" si="21"/>
        <v>7.926829268292683E-2</v>
      </c>
      <c r="S71" s="1">
        <f t="shared" si="22"/>
        <v>0.1875</v>
      </c>
      <c r="T71" s="1">
        <f t="shared" si="23"/>
        <v>0.86200638792102202</v>
      </c>
      <c r="V71" s="1">
        <f>Sheet4!AB71^2</f>
        <v>0.48696079298172673</v>
      </c>
      <c r="W71" s="1">
        <f>Sheet4!AC71^2</f>
        <v>9.130927059982967E-2</v>
      </c>
      <c r="X71" s="1">
        <f t="shared" si="24"/>
        <v>13.147941410506622</v>
      </c>
      <c r="Y71" s="1">
        <f t="shared" si="25"/>
        <v>2.465350306195401</v>
      </c>
      <c r="Z71" s="1">
        <f t="shared" si="26"/>
        <v>7862.9915797010854</v>
      </c>
      <c r="AA71" s="1">
        <f t="shared" si="27"/>
        <v>8544.8320992335048</v>
      </c>
      <c r="AB71" s="1">
        <f t="shared" si="28"/>
        <v>0.52077790854151507</v>
      </c>
      <c r="AC71" s="1">
        <f t="shared" si="29"/>
        <v>0.47922209145848493</v>
      </c>
      <c r="AD71" s="1">
        <f>ABS(AB71 - Sheet4!AB71)</f>
        <v>0.17704785264943346</v>
      </c>
      <c r="AF71" s="15">
        <f t="shared" si="30"/>
        <v>1</v>
      </c>
      <c r="AG71" s="15">
        <f t="shared" si="31"/>
        <v>1</v>
      </c>
    </row>
    <row r="72" spans="1:33" x14ac:dyDescent="0.3">
      <c r="A72" s="2">
        <v>202210</v>
      </c>
      <c r="B72" s="6">
        <v>44858</v>
      </c>
      <c r="C72" s="3">
        <v>41</v>
      </c>
      <c r="D72" s="3">
        <v>57</v>
      </c>
      <c r="E72" s="3">
        <v>50</v>
      </c>
      <c r="F72" s="3">
        <v>10</v>
      </c>
      <c r="G72" s="3">
        <v>31</v>
      </c>
      <c r="H72" s="3">
        <v>18</v>
      </c>
      <c r="I72" s="3">
        <v>57</v>
      </c>
      <c r="J72" s="3" t="s">
        <v>19</v>
      </c>
      <c r="K72" s="3" t="s">
        <v>20</v>
      </c>
      <c r="L72" s="3" t="s">
        <v>21</v>
      </c>
      <c r="N72" s="1">
        <f t="shared" si="17"/>
        <v>0.2413793103448276</v>
      </c>
      <c r="O72" s="1">
        <f t="shared" si="18"/>
        <v>0.13333333333333333</v>
      </c>
      <c r="P72" s="1">
        <f t="shared" si="19"/>
        <v>0.41666666666666669</v>
      </c>
      <c r="Q72" s="1">
        <f t="shared" si="20"/>
        <v>5.2631578947368418E-2</v>
      </c>
      <c r="R72" s="1">
        <f t="shared" si="21"/>
        <v>8.5365853658536592E-2</v>
      </c>
      <c r="S72" s="1">
        <f t="shared" si="22"/>
        <v>0.15625</v>
      </c>
      <c r="T72" s="1">
        <f t="shared" si="23"/>
        <v>1.0856267429507325</v>
      </c>
      <c r="V72" s="1">
        <f>Sheet4!AB72^2</f>
        <v>0.53755680091644942</v>
      </c>
      <c r="W72" s="1">
        <f>Sheet4!AC72^2</f>
        <v>7.1191497294668504E-2</v>
      </c>
      <c r="X72" s="1">
        <f t="shared" si="24"/>
        <v>22.039828837574426</v>
      </c>
      <c r="Y72" s="1">
        <f t="shared" si="25"/>
        <v>2.9188513890814085</v>
      </c>
      <c r="Z72" s="1">
        <f t="shared" si="26"/>
        <v>7507.7084509102278</v>
      </c>
      <c r="AA72" s="1">
        <f t="shared" si="27"/>
        <v>7937.260352860023</v>
      </c>
      <c r="AB72" s="1">
        <f t="shared" si="28"/>
        <v>0.51390588441476603</v>
      </c>
      <c r="AC72" s="1">
        <f t="shared" si="29"/>
        <v>0.48609411558523397</v>
      </c>
      <c r="AD72" s="1">
        <f>ABS(AB72 - Sheet4!AB72)</f>
        <v>0.21927676739612445</v>
      </c>
      <c r="AF72" s="15">
        <f t="shared" si="30"/>
        <v>1</v>
      </c>
      <c r="AG72" s="15">
        <f t="shared" si="31"/>
        <v>1</v>
      </c>
    </row>
    <row r="73" spans="1:33" x14ac:dyDescent="0.3">
      <c r="A73" s="2">
        <v>202210</v>
      </c>
      <c r="B73" s="6">
        <v>44857</v>
      </c>
      <c r="C73" s="3">
        <v>52</v>
      </c>
      <c r="D73" s="3">
        <v>66</v>
      </c>
      <c r="E73" s="3">
        <v>51</v>
      </c>
      <c r="F73" s="3">
        <v>11</v>
      </c>
      <c r="G73" s="3">
        <v>45</v>
      </c>
      <c r="H73" s="3">
        <v>21</v>
      </c>
      <c r="I73" s="3">
        <v>66</v>
      </c>
      <c r="J73" s="3" t="s">
        <v>19</v>
      </c>
      <c r="K73" s="3" t="s">
        <v>20</v>
      </c>
      <c r="L73" s="3" t="s">
        <v>21</v>
      </c>
      <c r="N73" s="1">
        <f t="shared" si="17"/>
        <v>0.43103448275862066</v>
      </c>
      <c r="O73" s="1">
        <f t="shared" si="18"/>
        <v>0.21904761904761905</v>
      </c>
      <c r="P73" s="1">
        <f t="shared" si="19"/>
        <v>0.5</v>
      </c>
      <c r="Q73" s="1">
        <f t="shared" si="20"/>
        <v>0.10526315789473684</v>
      </c>
      <c r="R73" s="1">
        <f t="shared" si="21"/>
        <v>0.17073170731707318</v>
      </c>
      <c r="S73" s="1">
        <f t="shared" si="22"/>
        <v>0.25</v>
      </c>
      <c r="T73" s="1">
        <f t="shared" si="23"/>
        <v>1.6760769670180495</v>
      </c>
      <c r="V73" s="1">
        <f>Sheet4!AB73^2</f>
        <v>0.63630356672738619</v>
      </c>
      <c r="W73" s="1">
        <f>Sheet4!AC73^2</f>
        <v>4.0930799343680102E-2</v>
      </c>
      <c r="X73" s="1">
        <f t="shared" si="24"/>
        <v>33.087785469824084</v>
      </c>
      <c r="Y73" s="1">
        <f t="shared" si="25"/>
        <v>2.1284015658713651</v>
      </c>
      <c r="Z73" s="1">
        <f t="shared" si="26"/>
        <v>9613.4145640031275</v>
      </c>
      <c r="AA73" s="1">
        <f t="shared" si="27"/>
        <v>9844.7396949951435</v>
      </c>
      <c r="AB73" s="1">
        <f t="shared" si="28"/>
        <v>0.50594416941897358</v>
      </c>
      <c r="AC73" s="1">
        <f t="shared" si="29"/>
        <v>0.49405583058102642</v>
      </c>
      <c r="AD73" s="1">
        <f>ABS(AB73 - Sheet4!AB73)</f>
        <v>0.2917422142728795</v>
      </c>
      <c r="AF73" s="15">
        <f t="shared" si="30"/>
        <v>1</v>
      </c>
      <c r="AG73" s="15">
        <f t="shared" si="31"/>
        <v>1</v>
      </c>
    </row>
    <row r="74" spans="1:33" x14ac:dyDescent="0.3">
      <c r="A74" s="2">
        <v>202210</v>
      </c>
      <c r="B74" s="6">
        <v>44856</v>
      </c>
      <c r="C74" s="3">
        <v>58</v>
      </c>
      <c r="D74" s="3">
        <v>82</v>
      </c>
      <c r="E74" s="3">
        <v>51</v>
      </c>
      <c r="F74" s="3">
        <v>19</v>
      </c>
      <c r="G74" s="3">
        <v>39</v>
      </c>
      <c r="H74" s="3">
        <v>41</v>
      </c>
      <c r="I74" s="3">
        <v>82</v>
      </c>
      <c r="J74" s="3" t="s">
        <v>19</v>
      </c>
      <c r="K74" s="3" t="s">
        <v>20</v>
      </c>
      <c r="L74" s="3" t="s">
        <v>21</v>
      </c>
      <c r="N74" s="1">
        <f t="shared" si="17"/>
        <v>0.53448275862068961</v>
      </c>
      <c r="O74" s="1">
        <f t="shared" si="18"/>
        <v>0.37142857142857144</v>
      </c>
      <c r="P74" s="1">
        <f t="shared" si="19"/>
        <v>0.5</v>
      </c>
      <c r="Q74" s="1">
        <f t="shared" si="20"/>
        <v>0.52631578947368418</v>
      </c>
      <c r="R74" s="1">
        <f t="shared" si="21"/>
        <v>0.13414634146341464</v>
      </c>
      <c r="S74" s="1">
        <f t="shared" si="22"/>
        <v>0.875</v>
      </c>
      <c r="T74" s="1">
        <f t="shared" si="23"/>
        <v>2.9413734609863598</v>
      </c>
      <c r="V74" s="1">
        <f>Sheet4!AB74^2</f>
        <v>0.71171581459040012</v>
      </c>
      <c r="W74" s="1">
        <f>Sheet4!AC74^2</f>
        <v>2.445079143559041E-2</v>
      </c>
      <c r="X74" s="1">
        <f t="shared" si="24"/>
        <v>41.279517246243209</v>
      </c>
      <c r="Y74" s="1">
        <f t="shared" si="25"/>
        <v>1.4181459032642438</v>
      </c>
      <c r="Z74" s="1">
        <f t="shared" si="26"/>
        <v>12893.436080235617</v>
      </c>
      <c r="AA74" s="1">
        <f t="shared" si="27"/>
        <v>13016.637517977939</v>
      </c>
      <c r="AB74" s="1">
        <f t="shared" si="28"/>
        <v>0.50237748143160077</v>
      </c>
      <c r="AC74" s="1">
        <f t="shared" si="29"/>
        <v>0.49762251856839923</v>
      </c>
      <c r="AD74" s="1">
        <f>ABS(AB74 - Sheet4!AB74)</f>
        <v>0.34125503014580405</v>
      </c>
      <c r="AF74" s="15">
        <f t="shared" si="30"/>
        <v>1</v>
      </c>
      <c r="AG74" s="15">
        <f t="shared" si="31"/>
        <v>1</v>
      </c>
    </row>
    <row r="75" spans="1:33" x14ac:dyDescent="0.3">
      <c r="A75" s="2">
        <v>202210</v>
      </c>
      <c r="B75" s="6">
        <v>44855</v>
      </c>
      <c r="C75" s="3">
        <v>52</v>
      </c>
      <c r="D75" s="3">
        <v>67</v>
      </c>
      <c r="E75" s="3">
        <v>50</v>
      </c>
      <c r="F75" s="3">
        <v>16</v>
      </c>
      <c r="G75" s="3">
        <v>31</v>
      </c>
      <c r="H75" s="3">
        <v>27</v>
      </c>
      <c r="I75" s="3">
        <v>67</v>
      </c>
      <c r="J75" s="3" t="s">
        <v>19</v>
      </c>
      <c r="K75" s="3" t="s">
        <v>20</v>
      </c>
      <c r="L75" s="3" t="s">
        <v>21</v>
      </c>
      <c r="N75" s="1">
        <f t="shared" si="17"/>
        <v>0.43103448275862066</v>
      </c>
      <c r="O75" s="1">
        <f t="shared" si="18"/>
        <v>0.22857142857142856</v>
      </c>
      <c r="P75" s="1">
        <f t="shared" si="19"/>
        <v>0.41666666666666669</v>
      </c>
      <c r="Q75" s="1">
        <f t="shared" si="20"/>
        <v>0.36842105263157893</v>
      </c>
      <c r="R75" s="1">
        <f t="shared" si="21"/>
        <v>8.5365853658536592E-2</v>
      </c>
      <c r="S75" s="1">
        <f t="shared" si="22"/>
        <v>0.4375</v>
      </c>
      <c r="T75" s="1">
        <f t="shared" si="23"/>
        <v>1.9675594842868316</v>
      </c>
      <c r="V75" s="1">
        <f>Sheet4!AB75^2</f>
        <v>0.62256777165837363</v>
      </c>
      <c r="W75" s="1">
        <f>Sheet4!AC75^2</f>
        <v>4.4508493103383999E-2</v>
      </c>
      <c r="X75" s="1">
        <f t="shared" si="24"/>
        <v>32.373524126235431</v>
      </c>
      <c r="Y75" s="1">
        <f t="shared" si="25"/>
        <v>2.3144416413759679</v>
      </c>
      <c r="Z75" s="1">
        <f t="shared" si="26"/>
        <v>9004.4145640031275</v>
      </c>
      <c r="AA75" s="1">
        <f t="shared" si="27"/>
        <v>9235.7396949951435</v>
      </c>
      <c r="AB75" s="1">
        <f t="shared" si="28"/>
        <v>0.50634109579632247</v>
      </c>
      <c r="AC75" s="1">
        <f t="shared" si="29"/>
        <v>0.49365890420367753</v>
      </c>
      <c r="AD75" s="1">
        <f>ABS(AB75 - Sheet4!AB75)</f>
        <v>0.28268854348117234</v>
      </c>
      <c r="AF75" s="15">
        <f t="shared" si="30"/>
        <v>1</v>
      </c>
      <c r="AG75" s="15">
        <f t="shared" si="31"/>
        <v>1</v>
      </c>
    </row>
    <row r="76" spans="1:33" x14ac:dyDescent="0.3">
      <c r="A76" s="2">
        <v>202210</v>
      </c>
      <c r="B76" s="6">
        <v>44854</v>
      </c>
      <c r="C76" s="3">
        <v>67</v>
      </c>
      <c r="D76" s="3">
        <v>88</v>
      </c>
      <c r="E76" s="3">
        <v>51</v>
      </c>
      <c r="F76" s="3">
        <v>28</v>
      </c>
      <c r="G76" s="3">
        <v>47</v>
      </c>
      <c r="H76" s="3">
        <v>45</v>
      </c>
      <c r="I76" s="3">
        <v>88</v>
      </c>
      <c r="J76" s="3" t="s">
        <v>19</v>
      </c>
      <c r="K76" s="3" t="s">
        <v>20</v>
      </c>
      <c r="L76" s="3" t="s">
        <v>21</v>
      </c>
      <c r="N76" s="1">
        <f t="shared" si="17"/>
        <v>0.68965517241379315</v>
      </c>
      <c r="O76" s="1">
        <f t="shared" si="18"/>
        <v>0.42857142857142855</v>
      </c>
      <c r="P76" s="1">
        <f t="shared" si="19"/>
        <v>0.5</v>
      </c>
      <c r="Q76" s="1">
        <f t="shared" si="20"/>
        <v>1</v>
      </c>
      <c r="R76" s="1">
        <f t="shared" si="21"/>
        <v>0.18292682926829268</v>
      </c>
      <c r="S76" s="1">
        <f t="shared" si="22"/>
        <v>1</v>
      </c>
      <c r="T76" s="1">
        <f t="shared" si="23"/>
        <v>3.8011534302535144</v>
      </c>
      <c r="V76" s="1">
        <f>Sheet4!AB76^2</f>
        <v>0.66846720281920335</v>
      </c>
      <c r="W76" s="1">
        <f>Sheet4!AC76^2</f>
        <v>3.327033048950942E-2</v>
      </c>
      <c r="X76" s="1">
        <f t="shared" si="24"/>
        <v>44.787302588886625</v>
      </c>
      <c r="Y76" s="1">
        <f t="shared" si="25"/>
        <v>2.2291121427971312</v>
      </c>
      <c r="Z76" s="1">
        <f t="shared" si="26"/>
        <v>15407.468354584351</v>
      </c>
      <c r="AA76" s="1">
        <f t="shared" si="27"/>
        <v>15368.484252452128</v>
      </c>
      <c r="AB76" s="1">
        <f t="shared" si="28"/>
        <v>0.49936664670254099</v>
      </c>
      <c r="AC76" s="1">
        <f t="shared" si="29"/>
        <v>0.50063335329745895</v>
      </c>
      <c r="AD76" s="1">
        <f>ABS(AB76 - Sheet4!AB76)</f>
        <v>0.31823178946230596</v>
      </c>
      <c r="AF76" s="15">
        <f t="shared" si="30"/>
        <v>2</v>
      </c>
      <c r="AG76" s="15">
        <f t="shared" si="31"/>
        <v>0</v>
      </c>
    </row>
    <row r="77" spans="1:33" x14ac:dyDescent="0.3">
      <c r="A77" s="2">
        <v>202210</v>
      </c>
      <c r="B77" s="6">
        <v>44853</v>
      </c>
      <c r="C77" s="3">
        <v>64</v>
      </c>
      <c r="D77" s="3">
        <v>92</v>
      </c>
      <c r="E77" s="3">
        <v>51</v>
      </c>
      <c r="F77" s="3">
        <v>22</v>
      </c>
      <c r="G77" s="3">
        <v>42</v>
      </c>
      <c r="H77" s="3">
        <v>44</v>
      </c>
      <c r="I77" s="3">
        <v>92</v>
      </c>
      <c r="J77" s="3" t="s">
        <v>19</v>
      </c>
      <c r="K77" s="3" t="s">
        <v>20</v>
      </c>
      <c r="L77" s="3" t="s">
        <v>21</v>
      </c>
      <c r="N77" s="1">
        <f t="shared" si="17"/>
        <v>0.63793103448275867</v>
      </c>
      <c r="O77" s="1">
        <f t="shared" si="18"/>
        <v>0.46666666666666667</v>
      </c>
      <c r="P77" s="1">
        <f t="shared" si="19"/>
        <v>0.5</v>
      </c>
      <c r="Q77" s="1">
        <f t="shared" si="20"/>
        <v>0.68421052631578949</v>
      </c>
      <c r="R77" s="1">
        <f t="shared" si="21"/>
        <v>0.1524390243902439</v>
      </c>
      <c r="S77" s="1">
        <f t="shared" si="22"/>
        <v>0.96875</v>
      </c>
      <c r="T77" s="1">
        <f t="shared" si="23"/>
        <v>3.4099972518554584</v>
      </c>
      <c r="V77" s="1">
        <f>Sheet4!AB77^2</f>
        <v>0.7102457526508319</v>
      </c>
      <c r="W77" s="1">
        <f>Sheet4!AC77^2</f>
        <v>2.4724168510383216E-2</v>
      </c>
      <c r="X77" s="1">
        <f t="shared" si="24"/>
        <v>45.455728169653241</v>
      </c>
      <c r="Y77" s="1">
        <f t="shared" si="25"/>
        <v>1.5823467846645258</v>
      </c>
      <c r="Z77" s="1">
        <f t="shared" si="26"/>
        <v>15262.457596468106</v>
      </c>
      <c r="AA77" s="1">
        <f t="shared" si="27"/>
        <v>15277.535340960731</v>
      </c>
      <c r="AB77" s="1">
        <f t="shared" si="28"/>
        <v>0.5002468524554593</v>
      </c>
      <c r="AC77" s="1">
        <f t="shared" si="29"/>
        <v>0.4997531475445407</v>
      </c>
      <c r="AD77" s="1">
        <f>ABS(AB77 - Sheet4!AB77)</f>
        <v>0.34251393961476506</v>
      </c>
      <c r="AF77" s="15">
        <f t="shared" si="30"/>
        <v>1</v>
      </c>
      <c r="AG77" s="15">
        <f t="shared" si="31"/>
        <v>1</v>
      </c>
    </row>
    <row r="78" spans="1:33" x14ac:dyDescent="0.3">
      <c r="A78" s="2">
        <v>202210</v>
      </c>
      <c r="B78" s="6">
        <v>44852</v>
      </c>
      <c r="C78" s="3">
        <v>59</v>
      </c>
      <c r="D78" s="3">
        <v>79</v>
      </c>
      <c r="E78" s="3">
        <v>50</v>
      </c>
      <c r="F78" s="3">
        <v>16</v>
      </c>
      <c r="G78" s="3">
        <v>45</v>
      </c>
      <c r="H78" s="3">
        <v>35</v>
      </c>
      <c r="I78" s="3">
        <v>79</v>
      </c>
      <c r="J78" s="3" t="s">
        <v>19</v>
      </c>
      <c r="K78" s="3" t="s">
        <v>20</v>
      </c>
      <c r="L78" s="3" t="s">
        <v>26</v>
      </c>
      <c r="N78" s="1">
        <f t="shared" si="17"/>
        <v>0.55172413793103448</v>
      </c>
      <c r="O78" s="1">
        <f t="shared" si="18"/>
        <v>0.34285714285714286</v>
      </c>
      <c r="P78" s="1">
        <f t="shared" si="19"/>
        <v>0.41666666666666669</v>
      </c>
      <c r="Q78" s="1">
        <f t="shared" si="20"/>
        <v>0.36842105263157893</v>
      </c>
      <c r="R78" s="1">
        <f t="shared" si="21"/>
        <v>0.17073170731707318</v>
      </c>
      <c r="S78" s="1">
        <f t="shared" si="22"/>
        <v>0.6875</v>
      </c>
      <c r="T78" s="1">
        <f t="shared" si="23"/>
        <v>2.5379007074034963</v>
      </c>
      <c r="V78" s="1">
        <f>Sheet4!AB78^2</f>
        <v>0.77091904838566705</v>
      </c>
      <c r="W78" s="1">
        <f>Sheet4!AC78^2</f>
        <v>1.4879130404680984E-2</v>
      </c>
      <c r="X78" s="1">
        <f t="shared" si="24"/>
        <v>45.484223854754354</v>
      </c>
      <c r="Y78" s="1">
        <f t="shared" si="25"/>
        <v>0.87786869387617805</v>
      </c>
      <c r="Z78" s="1">
        <f t="shared" si="26"/>
        <v>12248.7729996077</v>
      </c>
      <c r="AA78" s="1">
        <f t="shared" si="27"/>
        <v>12353.953821808404</v>
      </c>
      <c r="AB78" s="1">
        <f t="shared" si="28"/>
        <v>0.50213758464588465</v>
      </c>
      <c r="AC78" s="1">
        <f t="shared" si="29"/>
        <v>0.49786241535411535</v>
      </c>
      <c r="AD78" s="1">
        <f>ABS(AB78 - Sheet4!AB78)</f>
        <v>0.37588237434460836</v>
      </c>
      <c r="AF78" s="15">
        <f t="shared" si="30"/>
        <v>1</v>
      </c>
      <c r="AG78" s="15">
        <f t="shared" si="31"/>
        <v>1</v>
      </c>
    </row>
    <row r="79" spans="1:33" x14ac:dyDescent="0.3">
      <c r="A79" s="2">
        <v>202210</v>
      </c>
      <c r="B79" s="6">
        <v>44851</v>
      </c>
      <c r="C79" s="3">
        <v>56</v>
      </c>
      <c r="D79" s="3">
        <v>85</v>
      </c>
      <c r="E79" s="3">
        <v>51</v>
      </c>
      <c r="F79" s="3">
        <v>13</v>
      </c>
      <c r="G79" s="3">
        <v>54</v>
      </c>
      <c r="H79" s="3">
        <v>25</v>
      </c>
      <c r="I79" s="3">
        <v>85</v>
      </c>
      <c r="J79" s="3" t="s">
        <v>19</v>
      </c>
      <c r="K79" s="3" t="s">
        <v>20</v>
      </c>
      <c r="L79" s="3" t="s">
        <v>21</v>
      </c>
      <c r="N79" s="1">
        <f t="shared" si="17"/>
        <v>0.5</v>
      </c>
      <c r="O79" s="1">
        <f t="shared" si="18"/>
        <v>0.4</v>
      </c>
      <c r="P79" s="1">
        <f t="shared" si="19"/>
        <v>0.5</v>
      </c>
      <c r="Q79" s="1">
        <f t="shared" si="20"/>
        <v>0.21052631578947367</v>
      </c>
      <c r="R79" s="1">
        <f t="shared" si="21"/>
        <v>0.22560975609756098</v>
      </c>
      <c r="S79" s="1">
        <f t="shared" si="22"/>
        <v>0.375</v>
      </c>
      <c r="T79" s="1">
        <f t="shared" si="23"/>
        <v>2.2111360718870348</v>
      </c>
      <c r="V79" s="1">
        <f>Sheet4!AB79^2</f>
        <v>0.87342265177923473</v>
      </c>
      <c r="W79" s="1">
        <f>Sheet4!AC79^2</f>
        <v>4.2809752022720674E-3</v>
      </c>
      <c r="X79" s="1">
        <f t="shared" si="24"/>
        <v>48.911668499637145</v>
      </c>
      <c r="Y79" s="1">
        <f t="shared" si="25"/>
        <v>0.23973461132723578</v>
      </c>
      <c r="Z79" s="1">
        <f t="shared" si="26"/>
        <v>13554.762241491453</v>
      </c>
      <c r="AA79" s="1">
        <f t="shared" si="27"/>
        <v>13714.004910317006</v>
      </c>
      <c r="AB79" s="1">
        <f t="shared" si="28"/>
        <v>0.50291987290696039</v>
      </c>
      <c r="AC79" s="1">
        <f t="shared" si="29"/>
        <v>0.49708012709303961</v>
      </c>
      <c r="AD79" s="1">
        <f>ABS(AB79 - Sheet4!AB79)</f>
        <v>0.43165096538152092</v>
      </c>
      <c r="AF79" s="15">
        <f t="shared" si="30"/>
        <v>1</v>
      </c>
      <c r="AG79" s="15">
        <f t="shared" si="31"/>
        <v>1</v>
      </c>
    </row>
    <row r="80" spans="1:33" x14ac:dyDescent="0.3">
      <c r="A80" s="2">
        <v>202210</v>
      </c>
      <c r="B80" s="6">
        <v>44850</v>
      </c>
      <c r="C80" s="3">
        <v>62</v>
      </c>
      <c r="D80" s="3">
        <v>93</v>
      </c>
      <c r="E80" s="3">
        <v>51</v>
      </c>
      <c r="F80" s="3">
        <v>19</v>
      </c>
      <c r="G80" s="3">
        <v>52</v>
      </c>
      <c r="H80" s="3">
        <v>36</v>
      </c>
      <c r="I80" s="3">
        <v>93</v>
      </c>
      <c r="J80" s="3" t="s">
        <v>19</v>
      </c>
      <c r="K80" s="3" t="s">
        <v>20</v>
      </c>
      <c r="L80" s="3" t="s">
        <v>21</v>
      </c>
      <c r="N80" s="1">
        <f t="shared" si="17"/>
        <v>0.60344827586206895</v>
      </c>
      <c r="O80" s="1">
        <f t="shared" si="18"/>
        <v>0.47619047619047616</v>
      </c>
      <c r="P80" s="1">
        <f t="shared" si="19"/>
        <v>0.5</v>
      </c>
      <c r="Q80" s="1">
        <f t="shared" si="20"/>
        <v>0.52631578947368418</v>
      </c>
      <c r="R80" s="1">
        <f t="shared" si="21"/>
        <v>0.21341463414634146</v>
      </c>
      <c r="S80" s="1">
        <f t="shared" si="22"/>
        <v>0.71875</v>
      </c>
      <c r="T80" s="1">
        <f t="shared" si="23"/>
        <v>3.0381191756725707</v>
      </c>
      <c r="V80" s="1">
        <f>Sheet4!AB80^2</f>
        <v>0.88440900816679013</v>
      </c>
      <c r="W80" s="1">
        <f>Sheet4!AC80^2</f>
        <v>3.5485580889114028E-3</v>
      </c>
      <c r="X80" s="1">
        <f t="shared" si="24"/>
        <v>54.833358506340986</v>
      </c>
      <c r="Y80" s="1">
        <f t="shared" si="25"/>
        <v>0.22001060151250698</v>
      </c>
      <c r="Z80" s="1">
        <f t="shared" si="26"/>
        <v>15613.783757723944</v>
      </c>
      <c r="AA80" s="1">
        <f t="shared" si="27"/>
        <v>15664.902733299799</v>
      </c>
      <c r="AB80" s="1">
        <f t="shared" si="28"/>
        <v>0.50081715348869471</v>
      </c>
      <c r="AC80" s="1">
        <f t="shared" si="29"/>
        <v>0.49918284651130529</v>
      </c>
      <c r="AD80" s="1">
        <f>ABS(AB80 - Sheet4!AB80)</f>
        <v>0.43961307155024465</v>
      </c>
      <c r="AF80" s="15">
        <f t="shared" si="30"/>
        <v>1</v>
      </c>
      <c r="AG80" s="15">
        <f t="shared" si="31"/>
        <v>1</v>
      </c>
    </row>
    <row r="81" spans="1:33" x14ac:dyDescent="0.3">
      <c r="A81" s="2">
        <v>202210</v>
      </c>
      <c r="B81" s="6">
        <v>44849</v>
      </c>
      <c r="C81" s="3">
        <v>55</v>
      </c>
      <c r="D81" s="3">
        <v>78</v>
      </c>
      <c r="E81" s="3">
        <v>51</v>
      </c>
      <c r="F81" s="3">
        <v>13</v>
      </c>
      <c r="G81" s="3">
        <v>58</v>
      </c>
      <c r="H81" s="3">
        <v>27</v>
      </c>
      <c r="I81" s="3">
        <v>78</v>
      </c>
      <c r="J81" s="3" t="s">
        <v>19</v>
      </c>
      <c r="K81" s="3" t="s">
        <v>20</v>
      </c>
      <c r="L81" s="3" t="s">
        <v>21</v>
      </c>
      <c r="N81" s="1">
        <f t="shared" si="17"/>
        <v>0.48275862068965519</v>
      </c>
      <c r="O81" s="1">
        <f t="shared" si="18"/>
        <v>0.33333333333333331</v>
      </c>
      <c r="P81" s="1">
        <f t="shared" si="19"/>
        <v>0.5</v>
      </c>
      <c r="Q81" s="1">
        <f t="shared" si="20"/>
        <v>0.21052631578947367</v>
      </c>
      <c r="R81" s="1">
        <f t="shared" si="21"/>
        <v>0.25</v>
      </c>
      <c r="S81" s="1">
        <f t="shared" si="22"/>
        <v>0.4375</v>
      </c>
      <c r="T81" s="1">
        <f t="shared" si="23"/>
        <v>2.2141182698124622</v>
      </c>
      <c r="V81" s="1">
        <f>Sheet4!AB81^2</f>
        <v>0.76250536822463932</v>
      </c>
      <c r="W81" s="1">
        <f>Sheet4!AC81^2</f>
        <v>1.6074300905188167E-2</v>
      </c>
      <c r="X81" s="1">
        <f t="shared" si="24"/>
        <v>41.937795252355166</v>
      </c>
      <c r="Y81" s="1">
        <f t="shared" si="25"/>
        <v>0.88408654978534917</v>
      </c>
      <c r="Z81" s="1">
        <f t="shared" si="26"/>
        <v>12975.425322119372</v>
      </c>
      <c r="AA81" s="1">
        <f t="shared" si="27"/>
        <v>13152.688606486541</v>
      </c>
      <c r="AB81" s="1">
        <f t="shared" si="28"/>
        <v>0.50339219441654937</v>
      </c>
      <c r="AC81" s="1">
        <f t="shared" si="29"/>
        <v>0.49660780558345063</v>
      </c>
      <c r="AD81" s="1">
        <f>ABS(AB81 - Sheet4!AB81)</f>
        <v>0.36982333924317623</v>
      </c>
      <c r="AF81" s="15">
        <f t="shared" si="30"/>
        <v>1</v>
      </c>
      <c r="AG81" s="15">
        <f t="shared" si="31"/>
        <v>1</v>
      </c>
    </row>
    <row r="82" spans="1:33" x14ac:dyDescent="0.3">
      <c r="A82" s="2">
        <v>202210</v>
      </c>
      <c r="B82" s="6">
        <v>44848</v>
      </c>
      <c r="C82" s="3">
        <v>67</v>
      </c>
      <c r="D82" s="3">
        <v>94</v>
      </c>
      <c r="E82" s="3">
        <v>50</v>
      </c>
      <c r="F82" s="3">
        <v>28</v>
      </c>
      <c r="G82" s="3">
        <v>47</v>
      </c>
      <c r="H82" s="3">
        <v>45</v>
      </c>
      <c r="I82" s="3">
        <v>94</v>
      </c>
      <c r="J82" s="3" t="s">
        <v>19</v>
      </c>
      <c r="K82" s="3" t="s">
        <v>20</v>
      </c>
      <c r="L82" s="3" t="s">
        <v>21</v>
      </c>
      <c r="N82" s="1">
        <f t="shared" si="17"/>
        <v>0.68965517241379315</v>
      </c>
      <c r="O82" s="1">
        <f t="shared" si="18"/>
        <v>0.48571428571428571</v>
      </c>
      <c r="P82" s="1">
        <f t="shared" si="19"/>
        <v>0.41666666666666669</v>
      </c>
      <c r="Q82" s="1">
        <f t="shared" si="20"/>
        <v>1</v>
      </c>
      <c r="R82" s="1">
        <f t="shared" si="21"/>
        <v>0.18292682926829268</v>
      </c>
      <c r="S82" s="1">
        <f t="shared" si="22"/>
        <v>1</v>
      </c>
      <c r="T82" s="1">
        <f t="shared" si="23"/>
        <v>3.7749629540630383</v>
      </c>
      <c r="V82" s="1">
        <f>Sheet4!AB82^2</f>
        <v>0.66075600581386373</v>
      </c>
      <c r="W82" s="1">
        <f>Sheet4!AC82^2</f>
        <v>3.501801239196705E-2</v>
      </c>
      <c r="X82" s="1">
        <f t="shared" si="24"/>
        <v>44.27065238952887</v>
      </c>
      <c r="Y82" s="1">
        <f t="shared" si="25"/>
        <v>2.3462068302617922</v>
      </c>
      <c r="Z82" s="1">
        <f t="shared" si="26"/>
        <v>16398.468354584351</v>
      </c>
      <c r="AA82" s="1">
        <f t="shared" si="27"/>
        <v>16359.484252452128</v>
      </c>
      <c r="AB82" s="1">
        <f t="shared" si="28"/>
        <v>0.49940496735861556</v>
      </c>
      <c r="AC82" s="1">
        <f t="shared" si="29"/>
        <v>0.50059503264138439</v>
      </c>
      <c r="AD82" s="1">
        <f>ABS(AB82 - Sheet4!AB82)</f>
        <v>0.31346402935233281</v>
      </c>
      <c r="AF82" s="15">
        <f t="shared" si="30"/>
        <v>2</v>
      </c>
      <c r="AG82" s="15">
        <f t="shared" si="31"/>
        <v>0</v>
      </c>
    </row>
    <row r="83" spans="1:33" x14ac:dyDescent="0.3">
      <c r="A83" s="2">
        <v>202210</v>
      </c>
      <c r="B83" s="6">
        <v>44847</v>
      </c>
      <c r="C83" s="3">
        <v>63</v>
      </c>
      <c r="D83" s="3">
        <v>91</v>
      </c>
      <c r="E83" s="3">
        <v>52</v>
      </c>
      <c r="F83" s="3">
        <v>17</v>
      </c>
      <c r="G83" s="3">
        <v>54</v>
      </c>
      <c r="H83" s="3">
        <v>36</v>
      </c>
      <c r="I83" s="3">
        <v>91</v>
      </c>
      <c r="J83" s="3" t="s">
        <v>19</v>
      </c>
      <c r="K83" s="3" t="s">
        <v>20</v>
      </c>
      <c r="L83" s="3" t="s">
        <v>21</v>
      </c>
      <c r="N83" s="1">
        <f t="shared" si="17"/>
        <v>0.62068965517241381</v>
      </c>
      <c r="O83" s="1">
        <f t="shared" si="18"/>
        <v>0.45714285714285713</v>
      </c>
      <c r="P83" s="1">
        <f t="shared" si="19"/>
        <v>0.58333333333333337</v>
      </c>
      <c r="Q83" s="1">
        <f t="shared" si="20"/>
        <v>0.42105263157894735</v>
      </c>
      <c r="R83" s="1">
        <f t="shared" si="21"/>
        <v>0.22560975609756098</v>
      </c>
      <c r="S83" s="1">
        <f t="shared" si="22"/>
        <v>0.71875</v>
      </c>
      <c r="T83" s="1">
        <f t="shared" si="23"/>
        <v>3.0265782333251128</v>
      </c>
      <c r="V83" s="1">
        <f>Sheet4!AB83^2</f>
        <v>0.89130389994373904</v>
      </c>
      <c r="W83" s="1">
        <f>Sheet4!AC83^2</f>
        <v>3.1260482107630886E-3</v>
      </c>
      <c r="X83" s="1">
        <f t="shared" si="24"/>
        <v>56.152145696455563</v>
      </c>
      <c r="Y83" s="1">
        <f t="shared" si="25"/>
        <v>0.19694103727807458</v>
      </c>
      <c r="Z83" s="1">
        <f t="shared" si="26"/>
        <v>15493.120677096025</v>
      </c>
      <c r="AA83" s="1">
        <f t="shared" si="27"/>
        <v>15526.219037130266</v>
      </c>
      <c r="AB83" s="1">
        <f t="shared" si="28"/>
        <v>0.50053351167915194</v>
      </c>
      <c r="AC83" s="1">
        <f t="shared" si="29"/>
        <v>0.49946648832084806</v>
      </c>
      <c r="AD83" s="1">
        <f>ABS(AB83 - Sheet4!AB83)</f>
        <v>0.44355541418733602</v>
      </c>
      <c r="AF83" s="15">
        <f t="shared" si="30"/>
        <v>1</v>
      </c>
      <c r="AG83" s="15">
        <f t="shared" si="31"/>
        <v>1</v>
      </c>
    </row>
    <row r="84" spans="1:33" x14ac:dyDescent="0.3">
      <c r="A84" s="2">
        <v>202210</v>
      </c>
      <c r="B84" s="6">
        <v>44846</v>
      </c>
      <c r="C84" s="3">
        <v>70</v>
      </c>
      <c r="D84" s="3">
        <v>97</v>
      </c>
      <c r="E84" s="3">
        <v>54</v>
      </c>
      <c r="F84" s="3">
        <v>27</v>
      </c>
      <c r="G84" s="3">
        <v>44</v>
      </c>
      <c r="H84" s="3">
        <v>42</v>
      </c>
      <c r="I84" s="3">
        <v>97</v>
      </c>
      <c r="J84" s="3" t="s">
        <v>19</v>
      </c>
      <c r="K84" s="3" t="s">
        <v>20</v>
      </c>
      <c r="L84" s="3" t="s">
        <v>21</v>
      </c>
      <c r="N84" s="1">
        <f t="shared" si="17"/>
        <v>0.74137931034482762</v>
      </c>
      <c r="O84" s="1">
        <f t="shared" si="18"/>
        <v>0.51428571428571423</v>
      </c>
      <c r="P84" s="1">
        <f t="shared" si="19"/>
        <v>0.75</v>
      </c>
      <c r="Q84" s="1">
        <f t="shared" si="20"/>
        <v>0.94736842105263153</v>
      </c>
      <c r="R84" s="1">
        <f t="shared" si="21"/>
        <v>0.16463414634146342</v>
      </c>
      <c r="S84" s="1">
        <f t="shared" si="22"/>
        <v>0.90625</v>
      </c>
      <c r="T84" s="1">
        <f t="shared" si="23"/>
        <v>4.0239175920246364</v>
      </c>
      <c r="V84" s="1">
        <f>Sheet4!AB84^2</f>
        <v>0.66622056373472993</v>
      </c>
      <c r="W84" s="1">
        <f>Sheet4!AC84^2</f>
        <v>3.377385558805366E-2</v>
      </c>
      <c r="X84" s="1">
        <f t="shared" si="24"/>
        <v>46.635439461431098</v>
      </c>
      <c r="Y84" s="1">
        <f t="shared" si="25"/>
        <v>2.3641698911637561</v>
      </c>
      <c r="Z84" s="1">
        <f t="shared" si="26"/>
        <v>16847.479112700596</v>
      </c>
      <c r="AA84" s="1">
        <f t="shared" si="27"/>
        <v>16754.433163943526</v>
      </c>
      <c r="AB84" s="1">
        <f t="shared" si="28"/>
        <v>0.49861546646525617</v>
      </c>
      <c r="AC84" s="1">
        <f t="shared" si="29"/>
        <v>0.50138453353474377</v>
      </c>
      <c r="AD84" s="1">
        <f>ABS(AB84 - Sheet4!AB84)</f>
        <v>0.31760788760808195</v>
      </c>
      <c r="AF84" s="15">
        <f t="shared" si="30"/>
        <v>2</v>
      </c>
      <c r="AG84" s="15">
        <f t="shared" si="31"/>
        <v>0</v>
      </c>
    </row>
    <row r="85" spans="1:33" ht="27.6" x14ac:dyDescent="0.3">
      <c r="A85" s="2">
        <v>202210</v>
      </c>
      <c r="B85" s="6">
        <v>44845</v>
      </c>
      <c r="C85" s="3">
        <v>77</v>
      </c>
      <c r="D85" s="3">
        <v>126</v>
      </c>
      <c r="E85" s="3">
        <v>51</v>
      </c>
      <c r="F85" s="3">
        <v>23</v>
      </c>
      <c r="G85" s="3">
        <v>59</v>
      </c>
      <c r="H85" s="3">
        <v>45</v>
      </c>
      <c r="I85" s="3">
        <v>126</v>
      </c>
      <c r="J85" s="3" t="s">
        <v>19</v>
      </c>
      <c r="K85" s="3" t="s">
        <v>22</v>
      </c>
      <c r="L85" s="3" t="s">
        <v>21</v>
      </c>
      <c r="N85" s="1">
        <f t="shared" si="17"/>
        <v>0.86206896551724133</v>
      </c>
      <c r="O85" s="1">
        <f t="shared" si="18"/>
        <v>0.79047619047619044</v>
      </c>
      <c r="P85" s="1">
        <f t="shared" si="19"/>
        <v>0.5</v>
      </c>
      <c r="Q85" s="1">
        <f t="shared" si="20"/>
        <v>0.73684210526315785</v>
      </c>
      <c r="R85" s="1">
        <f t="shared" si="21"/>
        <v>0.25609756097560976</v>
      </c>
      <c r="S85" s="1">
        <f t="shared" si="22"/>
        <v>1</v>
      </c>
      <c r="T85" s="1">
        <f t="shared" si="23"/>
        <v>4.1454848222321994</v>
      </c>
      <c r="V85" s="1">
        <f>Sheet4!AB85^2</f>
        <v>0.25028865169371373</v>
      </c>
      <c r="W85" s="1">
        <f>Sheet4!AC85^2</f>
        <v>0.24971151484975457</v>
      </c>
      <c r="X85" s="1">
        <f t="shared" si="24"/>
        <v>19.272226180415956</v>
      </c>
      <c r="Y85" s="1">
        <f t="shared" si="25"/>
        <v>19.227786643431102</v>
      </c>
      <c r="Z85" s="1">
        <f t="shared" si="26"/>
        <v>24789.837548305168</v>
      </c>
      <c r="AA85" s="1">
        <f t="shared" si="27"/>
        <v>24570.647290756784</v>
      </c>
      <c r="AB85" s="1">
        <f t="shared" si="28"/>
        <v>0.49777969910280417</v>
      </c>
      <c r="AC85" s="1">
        <f t="shared" si="29"/>
        <v>0.50222030089719583</v>
      </c>
      <c r="AD85" s="1">
        <f>ABS(AB85 - Sheet4!AB85)</f>
        <v>2.5088693191753775E-3</v>
      </c>
      <c r="AF85" s="15">
        <f t="shared" si="30"/>
        <v>2</v>
      </c>
      <c r="AG85" s="15">
        <f t="shared" si="31"/>
        <v>1</v>
      </c>
    </row>
    <row r="86" spans="1:33" x14ac:dyDescent="0.3">
      <c r="A86" s="2">
        <v>202210</v>
      </c>
      <c r="B86" s="6">
        <v>44844</v>
      </c>
      <c r="C86" s="3">
        <v>54</v>
      </c>
      <c r="D86" s="3">
        <v>74</v>
      </c>
      <c r="E86" s="3">
        <v>50</v>
      </c>
      <c r="F86" s="3">
        <v>14</v>
      </c>
      <c r="G86" s="3">
        <v>38</v>
      </c>
      <c r="H86" s="3">
        <v>25</v>
      </c>
      <c r="I86" s="3">
        <v>74</v>
      </c>
      <c r="J86" s="3" t="s">
        <v>19</v>
      </c>
      <c r="K86" s="3" t="s">
        <v>20</v>
      </c>
      <c r="L86" s="3" t="s">
        <v>21</v>
      </c>
      <c r="N86" s="1">
        <f t="shared" si="17"/>
        <v>0.46551724137931033</v>
      </c>
      <c r="O86" s="1">
        <f t="shared" si="18"/>
        <v>0.29523809523809524</v>
      </c>
      <c r="P86" s="1">
        <f t="shared" si="19"/>
        <v>0.41666666666666669</v>
      </c>
      <c r="Q86" s="1">
        <f t="shared" si="20"/>
        <v>0.26315789473684209</v>
      </c>
      <c r="R86" s="1">
        <f t="shared" si="21"/>
        <v>0.12804878048780488</v>
      </c>
      <c r="S86" s="1">
        <f t="shared" si="22"/>
        <v>0.375</v>
      </c>
      <c r="T86" s="1">
        <f t="shared" si="23"/>
        <v>1.9436286785087193</v>
      </c>
      <c r="V86" s="1">
        <f>Sheet4!AB86^2</f>
        <v>0.69906960803173246</v>
      </c>
      <c r="W86" s="1">
        <f>Sheet4!AC86^2</f>
        <v>2.6861955816574721E-2</v>
      </c>
      <c r="X86" s="1">
        <f t="shared" si="24"/>
        <v>37.74975883371355</v>
      </c>
      <c r="Y86" s="1">
        <f t="shared" si="25"/>
        <v>1.450545614095035</v>
      </c>
      <c r="Z86" s="1">
        <f t="shared" si="26"/>
        <v>10281.088402747289</v>
      </c>
      <c r="AA86" s="1">
        <f t="shared" si="27"/>
        <v>10476.372302656076</v>
      </c>
      <c r="AB86" s="1">
        <f t="shared" si="28"/>
        <v>0.50470394482929093</v>
      </c>
      <c r="AC86" s="1">
        <f t="shared" si="29"/>
        <v>0.49529605517070907</v>
      </c>
      <c r="AD86" s="1">
        <f>ABS(AB86 - Sheet4!AB86)</f>
        <v>0.3313998812782879</v>
      </c>
      <c r="AF86" s="15">
        <f t="shared" si="30"/>
        <v>1</v>
      </c>
      <c r="AG86" s="15">
        <f t="shared" si="31"/>
        <v>1</v>
      </c>
    </row>
    <row r="87" spans="1:33" x14ac:dyDescent="0.3">
      <c r="A87" s="2">
        <v>202210</v>
      </c>
      <c r="B87" s="6">
        <v>44843</v>
      </c>
      <c r="C87" s="3">
        <v>58</v>
      </c>
      <c r="D87" s="3">
        <v>95</v>
      </c>
      <c r="E87" s="3">
        <v>50</v>
      </c>
      <c r="F87" s="3">
        <v>24</v>
      </c>
      <c r="G87" s="3">
        <v>39</v>
      </c>
      <c r="H87" s="3">
        <v>35</v>
      </c>
      <c r="I87" s="3">
        <v>95</v>
      </c>
      <c r="J87" s="3" t="s">
        <v>19</v>
      </c>
      <c r="K87" s="3" t="s">
        <v>20</v>
      </c>
      <c r="L87" s="3" t="s">
        <v>21</v>
      </c>
      <c r="N87" s="1">
        <f t="shared" si="17"/>
        <v>0.53448275862068961</v>
      </c>
      <c r="O87" s="1">
        <f t="shared" si="18"/>
        <v>0.49523809523809526</v>
      </c>
      <c r="P87" s="1">
        <f t="shared" si="19"/>
        <v>0.41666666666666669</v>
      </c>
      <c r="Q87" s="1">
        <f t="shared" si="20"/>
        <v>0.78947368421052633</v>
      </c>
      <c r="R87" s="1">
        <f t="shared" si="21"/>
        <v>0.13414634146341464</v>
      </c>
      <c r="S87" s="1">
        <f t="shared" si="22"/>
        <v>0.6875</v>
      </c>
      <c r="T87" s="1">
        <f t="shared" si="23"/>
        <v>3.0575075461993926</v>
      </c>
      <c r="V87" s="1">
        <f>Sheet4!AB87^2</f>
        <v>0.75186469989175164</v>
      </c>
      <c r="W87" s="1">
        <f>Sheet4!AC87^2</f>
        <v>1.7662059031403245E-2</v>
      </c>
      <c r="X87" s="1">
        <f t="shared" si="24"/>
        <v>43.608152593721599</v>
      </c>
      <c r="Y87" s="1">
        <f t="shared" si="25"/>
        <v>1.0243994238213883</v>
      </c>
      <c r="Z87" s="1">
        <f t="shared" si="26"/>
        <v>14852.436080235617</v>
      </c>
      <c r="AA87" s="1">
        <f t="shared" si="27"/>
        <v>14975.637517977937</v>
      </c>
      <c r="AB87" s="1">
        <f t="shared" si="28"/>
        <v>0.50206519266718075</v>
      </c>
      <c r="AC87" s="1">
        <f t="shared" si="29"/>
        <v>0.49793480733281925</v>
      </c>
      <c r="AD87" s="1">
        <f>ABS(AB87 - Sheet4!AB87)</f>
        <v>0.36503612776299343</v>
      </c>
      <c r="AF87" s="15">
        <f t="shared" si="30"/>
        <v>1</v>
      </c>
      <c r="AG87" s="15">
        <f t="shared" si="31"/>
        <v>1</v>
      </c>
    </row>
    <row r="88" spans="1:33" x14ac:dyDescent="0.3">
      <c r="A88" s="2">
        <v>202210</v>
      </c>
      <c r="B88" s="6">
        <v>44842</v>
      </c>
      <c r="C88" s="3">
        <v>35</v>
      </c>
      <c r="D88" s="3">
        <v>61</v>
      </c>
      <c r="E88" s="3">
        <v>50</v>
      </c>
      <c r="F88" s="3">
        <v>17</v>
      </c>
      <c r="G88" s="3">
        <v>28</v>
      </c>
      <c r="H88" s="3">
        <v>25</v>
      </c>
      <c r="I88" s="3">
        <v>61</v>
      </c>
      <c r="J88" s="3" t="s">
        <v>19</v>
      </c>
      <c r="K88" s="3" t="s">
        <v>20</v>
      </c>
      <c r="L88" s="3" t="s">
        <v>24</v>
      </c>
      <c r="N88" s="1">
        <f t="shared" si="17"/>
        <v>0.13793103448275862</v>
      </c>
      <c r="O88" s="1">
        <f t="shared" si="18"/>
        <v>0.17142857142857143</v>
      </c>
      <c r="P88" s="1">
        <f t="shared" si="19"/>
        <v>0.41666666666666669</v>
      </c>
      <c r="Q88" s="1">
        <f t="shared" si="20"/>
        <v>0.42105263157894735</v>
      </c>
      <c r="R88" s="1">
        <f t="shared" si="21"/>
        <v>6.7073170731707321E-2</v>
      </c>
      <c r="S88" s="1">
        <f t="shared" si="22"/>
        <v>0.375</v>
      </c>
      <c r="T88" s="1">
        <f t="shared" si="23"/>
        <v>1.5891520748886514</v>
      </c>
      <c r="V88" s="1">
        <f>Sheet4!AB88^2</f>
        <v>0.53840082453658744</v>
      </c>
      <c r="W88" s="1">
        <f>Sheet4!AC88^2</f>
        <v>7.088479459130953E-2</v>
      </c>
      <c r="X88" s="1">
        <f t="shared" si="24"/>
        <v>18.844028858780561</v>
      </c>
      <c r="Y88" s="1">
        <f t="shared" si="25"/>
        <v>2.4809678106958337</v>
      </c>
      <c r="Z88" s="1">
        <f t="shared" si="26"/>
        <v>8560.6869346777385</v>
      </c>
      <c r="AA88" s="1">
        <f t="shared" si="27"/>
        <v>9098.3625298772295</v>
      </c>
      <c r="AB88" s="1">
        <f t="shared" si="28"/>
        <v>0.51522379775532956</v>
      </c>
      <c r="AC88" s="1">
        <f t="shared" si="29"/>
        <v>0.48477620224467044</v>
      </c>
      <c r="AD88" s="1">
        <f>ABS(AB88 - Sheet4!AB88)</f>
        <v>0.21853421721730937</v>
      </c>
      <c r="AF88" s="15">
        <f t="shared" si="30"/>
        <v>1</v>
      </c>
      <c r="AG88" s="15">
        <f t="shared" si="31"/>
        <v>1</v>
      </c>
    </row>
    <row r="89" spans="1:33" x14ac:dyDescent="0.3">
      <c r="A89" s="2">
        <v>202210</v>
      </c>
      <c r="B89" s="6">
        <v>44841</v>
      </c>
      <c r="C89" s="3">
        <v>51</v>
      </c>
      <c r="D89" s="3">
        <v>66</v>
      </c>
      <c r="E89" s="3">
        <v>53</v>
      </c>
      <c r="F89" s="3">
        <v>17</v>
      </c>
      <c r="G89" s="3">
        <v>35</v>
      </c>
      <c r="H89" s="3">
        <v>34</v>
      </c>
      <c r="I89" s="3">
        <v>66</v>
      </c>
      <c r="J89" s="3" t="s">
        <v>19</v>
      </c>
      <c r="K89" s="3" t="s">
        <v>20</v>
      </c>
      <c r="L89" s="3" t="s">
        <v>26</v>
      </c>
      <c r="N89" s="1">
        <f t="shared" si="17"/>
        <v>0.41379310344827586</v>
      </c>
      <c r="O89" s="1">
        <f t="shared" si="18"/>
        <v>0.21904761904761905</v>
      </c>
      <c r="P89" s="1">
        <f t="shared" si="19"/>
        <v>0.66666666666666663</v>
      </c>
      <c r="Q89" s="1">
        <f t="shared" si="20"/>
        <v>0.42105263157894735</v>
      </c>
      <c r="R89" s="1">
        <f t="shared" si="21"/>
        <v>0.10975609756097561</v>
      </c>
      <c r="S89" s="1">
        <f t="shared" si="22"/>
        <v>0.65625</v>
      </c>
      <c r="T89" s="1">
        <f t="shared" si="23"/>
        <v>2.4865661183024845</v>
      </c>
      <c r="V89" s="1">
        <f>Sheet4!AB89^2</f>
        <v>0.61890688030088303</v>
      </c>
      <c r="W89" s="1">
        <f>Sheet4!AC89^2</f>
        <v>4.549418135520205E-2</v>
      </c>
      <c r="X89" s="1">
        <f t="shared" si="24"/>
        <v>31.564250895345033</v>
      </c>
      <c r="Y89" s="1">
        <f t="shared" si="25"/>
        <v>2.3202032491153046</v>
      </c>
      <c r="Z89" s="1">
        <f t="shared" si="26"/>
        <v>9922.0776446310447</v>
      </c>
      <c r="AA89" s="1">
        <f t="shared" si="27"/>
        <v>10171.423391164679</v>
      </c>
      <c r="AB89" s="1">
        <f t="shared" si="28"/>
        <v>0.50620463666559246</v>
      </c>
      <c r="AC89" s="1">
        <f t="shared" si="29"/>
        <v>0.49379536333440754</v>
      </c>
      <c r="AD89" s="1">
        <f>ABS(AB89 - Sheet4!AB89)</f>
        <v>0.280501712807248</v>
      </c>
      <c r="AF89" s="15">
        <f t="shared" si="30"/>
        <v>1</v>
      </c>
      <c r="AG89" s="15">
        <f t="shared" si="31"/>
        <v>1</v>
      </c>
    </row>
    <row r="90" spans="1:33" x14ac:dyDescent="0.3">
      <c r="A90" s="2">
        <v>202210</v>
      </c>
      <c r="B90" s="6">
        <v>44840</v>
      </c>
      <c r="C90" s="3">
        <v>61</v>
      </c>
      <c r="D90" s="3">
        <v>89</v>
      </c>
      <c r="E90" s="3">
        <v>51</v>
      </c>
      <c r="F90" s="3">
        <v>20</v>
      </c>
      <c r="G90" s="3">
        <v>39</v>
      </c>
      <c r="H90" s="3">
        <v>32</v>
      </c>
      <c r="I90" s="3">
        <v>89</v>
      </c>
      <c r="J90" s="3" t="s">
        <v>19</v>
      </c>
      <c r="K90" s="3" t="s">
        <v>20</v>
      </c>
      <c r="L90" s="3" t="s">
        <v>21</v>
      </c>
      <c r="N90" s="1">
        <f t="shared" si="17"/>
        <v>0.58620689655172409</v>
      </c>
      <c r="O90" s="1">
        <f t="shared" si="18"/>
        <v>0.43809523809523809</v>
      </c>
      <c r="P90" s="1">
        <f t="shared" si="19"/>
        <v>0.5</v>
      </c>
      <c r="Q90" s="1">
        <f t="shared" si="20"/>
        <v>0.57894736842105265</v>
      </c>
      <c r="R90" s="1">
        <f t="shared" si="21"/>
        <v>0.13414634146341464</v>
      </c>
      <c r="S90" s="1">
        <f t="shared" si="22"/>
        <v>0.59375</v>
      </c>
      <c r="T90" s="1">
        <f t="shared" si="23"/>
        <v>2.8311458445314295</v>
      </c>
      <c r="V90" s="1">
        <f>Sheet4!AB90^2</f>
        <v>0.79525728815840613</v>
      </c>
      <c r="W90" s="1">
        <f>Sheet4!AC90^2</f>
        <v>1.1713301419187926E-2</v>
      </c>
      <c r="X90" s="1">
        <f t="shared" si="24"/>
        <v>48.510694577662775</v>
      </c>
      <c r="Y90" s="1">
        <f t="shared" si="25"/>
        <v>0.71451138657046354</v>
      </c>
      <c r="Z90" s="1">
        <f t="shared" si="26"/>
        <v>13467.446838351862</v>
      </c>
      <c r="AA90" s="1">
        <f t="shared" si="27"/>
        <v>13536.586429469335</v>
      </c>
      <c r="AB90" s="1">
        <f t="shared" si="28"/>
        <v>0.50128017156607241</v>
      </c>
      <c r="AC90" s="1">
        <f t="shared" si="29"/>
        <v>0.49871982843392759</v>
      </c>
      <c r="AD90" s="1">
        <f>ABS(AB90 - Sheet4!AB90)</f>
        <v>0.3904918218035367</v>
      </c>
      <c r="AF90" s="15">
        <f t="shared" si="30"/>
        <v>1</v>
      </c>
      <c r="AG90" s="15">
        <f t="shared" si="31"/>
        <v>1</v>
      </c>
    </row>
    <row r="91" spans="1:33" x14ac:dyDescent="0.3">
      <c r="A91" s="2">
        <v>202210</v>
      </c>
      <c r="B91" s="6">
        <v>44839</v>
      </c>
      <c r="C91" s="3">
        <v>51</v>
      </c>
      <c r="D91" s="3">
        <v>68</v>
      </c>
      <c r="E91" s="3">
        <v>50</v>
      </c>
      <c r="F91" s="3">
        <v>22</v>
      </c>
      <c r="G91" s="3">
        <v>36</v>
      </c>
      <c r="H91" s="3">
        <v>42</v>
      </c>
      <c r="I91" s="3">
        <v>68</v>
      </c>
      <c r="J91" s="3" t="s">
        <v>19</v>
      </c>
      <c r="K91" s="3" t="s">
        <v>20</v>
      </c>
      <c r="L91" s="3" t="s">
        <v>21</v>
      </c>
      <c r="N91" s="1">
        <f t="shared" si="17"/>
        <v>0.41379310344827586</v>
      </c>
      <c r="O91" s="1">
        <f t="shared" si="18"/>
        <v>0.23809523809523808</v>
      </c>
      <c r="P91" s="1">
        <f t="shared" si="19"/>
        <v>0.41666666666666669</v>
      </c>
      <c r="Q91" s="1">
        <f t="shared" si="20"/>
        <v>0.68421052631578949</v>
      </c>
      <c r="R91" s="1">
        <f t="shared" si="21"/>
        <v>0.11585365853658537</v>
      </c>
      <c r="S91" s="1">
        <f t="shared" si="22"/>
        <v>0.90625</v>
      </c>
      <c r="T91" s="1">
        <f t="shared" si="23"/>
        <v>2.774869193062556</v>
      </c>
      <c r="V91" s="1">
        <f>Sheet4!AB91^2</f>
        <v>0.60469710311506275</v>
      </c>
      <c r="W91" s="1">
        <f>Sheet4!AC91^2</f>
        <v>4.9451652242355336E-2</v>
      </c>
      <c r="X91" s="1">
        <f t="shared" si="24"/>
        <v>30.839552258868199</v>
      </c>
      <c r="Y91" s="1">
        <f t="shared" si="25"/>
        <v>2.5220342643601223</v>
      </c>
      <c r="Z91" s="1">
        <f t="shared" si="26"/>
        <v>10755.077644631045</v>
      </c>
      <c r="AA91" s="1">
        <f t="shared" si="27"/>
        <v>11004.423391164679</v>
      </c>
      <c r="AB91" s="1">
        <f t="shared" si="28"/>
        <v>0.50572958327774709</v>
      </c>
      <c r="AC91" s="1">
        <f t="shared" si="29"/>
        <v>0.49427041672225291</v>
      </c>
      <c r="AD91" s="1">
        <f>ABS(AB91 - Sheet4!AB91)</f>
        <v>0.2718931421586066</v>
      </c>
      <c r="AF91" s="15">
        <f t="shared" si="30"/>
        <v>1</v>
      </c>
      <c r="AG91" s="15">
        <f t="shared" si="31"/>
        <v>1</v>
      </c>
    </row>
    <row r="92" spans="1:33" x14ac:dyDescent="0.3">
      <c r="A92" s="2">
        <v>202210</v>
      </c>
      <c r="B92" s="6">
        <v>44838</v>
      </c>
      <c r="C92" s="3">
        <v>67</v>
      </c>
      <c r="D92" s="3">
        <v>98</v>
      </c>
      <c r="E92" s="3">
        <v>51</v>
      </c>
      <c r="F92" s="3">
        <v>15</v>
      </c>
      <c r="G92" s="3">
        <v>40</v>
      </c>
      <c r="H92" s="3">
        <v>33</v>
      </c>
      <c r="I92" s="3">
        <v>98</v>
      </c>
      <c r="J92" s="3" t="s">
        <v>19</v>
      </c>
      <c r="K92" s="3" t="s">
        <v>20</v>
      </c>
      <c r="L92" s="3" t="s">
        <v>21</v>
      </c>
      <c r="N92" s="1">
        <f t="shared" si="17"/>
        <v>0.68965517241379315</v>
      </c>
      <c r="O92" s="1">
        <f t="shared" si="18"/>
        <v>0.52380952380952384</v>
      </c>
      <c r="P92" s="1">
        <f t="shared" si="19"/>
        <v>0.5</v>
      </c>
      <c r="Q92" s="1">
        <f t="shared" si="20"/>
        <v>0.31578947368421051</v>
      </c>
      <c r="R92" s="1">
        <f t="shared" si="21"/>
        <v>0.1402439024390244</v>
      </c>
      <c r="S92" s="1">
        <f t="shared" si="22"/>
        <v>0.625</v>
      </c>
      <c r="T92" s="1">
        <f t="shared" si="23"/>
        <v>2.7944980723465518</v>
      </c>
      <c r="V92" s="1">
        <f>Sheet4!AB92^2</f>
        <v>0.77942594306895785</v>
      </c>
      <c r="W92" s="1">
        <f>Sheet4!AC92^2</f>
        <v>1.37238809203542E-2</v>
      </c>
      <c r="X92" s="1">
        <f t="shared" si="24"/>
        <v>52.221538185620176</v>
      </c>
      <c r="Y92" s="1">
        <f t="shared" si="25"/>
        <v>0.91950002166373135</v>
      </c>
      <c r="Z92" s="1">
        <f t="shared" si="26"/>
        <v>15163.468354584353</v>
      </c>
      <c r="AA92" s="1">
        <f t="shared" si="27"/>
        <v>15124.484252452128</v>
      </c>
      <c r="AB92" s="1">
        <f t="shared" si="28"/>
        <v>0.49935644210359792</v>
      </c>
      <c r="AC92" s="1">
        <f t="shared" si="29"/>
        <v>0.50064355789640214</v>
      </c>
      <c r="AD92" s="1">
        <f>ABS(AB92 - Sheet4!AB92)</f>
        <v>0.38349458897070393</v>
      </c>
      <c r="AF92" s="15">
        <f t="shared" si="30"/>
        <v>2</v>
      </c>
      <c r="AG92" s="15">
        <f t="shared" si="31"/>
        <v>0</v>
      </c>
    </row>
    <row r="93" spans="1:33" x14ac:dyDescent="0.3">
      <c r="A93" s="2">
        <v>202210</v>
      </c>
      <c r="B93" s="6">
        <v>44837</v>
      </c>
      <c r="C93" s="3">
        <v>56</v>
      </c>
      <c r="D93" s="3">
        <v>76</v>
      </c>
      <c r="E93" s="3">
        <v>51</v>
      </c>
      <c r="F93" s="3">
        <v>18</v>
      </c>
      <c r="G93" s="3">
        <v>38</v>
      </c>
      <c r="H93" s="3">
        <v>35</v>
      </c>
      <c r="I93" s="3">
        <v>76</v>
      </c>
      <c r="J93" s="3" t="s">
        <v>19</v>
      </c>
      <c r="K93" s="3" t="s">
        <v>20</v>
      </c>
      <c r="L93" s="3" t="s">
        <v>24</v>
      </c>
      <c r="N93" s="1">
        <f t="shared" si="17"/>
        <v>0.5</v>
      </c>
      <c r="O93" s="1">
        <f t="shared" si="18"/>
        <v>0.31428571428571428</v>
      </c>
      <c r="P93" s="1">
        <f t="shared" si="19"/>
        <v>0.5</v>
      </c>
      <c r="Q93" s="1">
        <f t="shared" si="20"/>
        <v>0.47368421052631576</v>
      </c>
      <c r="R93" s="1">
        <f t="shared" si="21"/>
        <v>0.12804878048780488</v>
      </c>
      <c r="S93" s="1">
        <f t="shared" si="22"/>
        <v>0.6875</v>
      </c>
      <c r="T93" s="1">
        <f t="shared" si="23"/>
        <v>2.6035187052998348</v>
      </c>
      <c r="V93" s="1">
        <f>Sheet4!AB93^2</f>
        <v>0.70402877052224078</v>
      </c>
      <c r="W93" s="1">
        <f>Sheet4!AC93^2</f>
        <v>2.5900324279533451E-2</v>
      </c>
      <c r="X93" s="1">
        <f t="shared" si="24"/>
        <v>39.425611149245483</v>
      </c>
      <c r="Y93" s="1">
        <f t="shared" si="25"/>
        <v>1.4504181596538732</v>
      </c>
      <c r="Z93" s="1">
        <f t="shared" si="26"/>
        <v>11388.762241491453</v>
      </c>
      <c r="AA93" s="1">
        <f t="shared" si="27"/>
        <v>11548.004910317006</v>
      </c>
      <c r="AB93" s="1">
        <f t="shared" si="28"/>
        <v>0.50347134074674937</v>
      </c>
      <c r="AC93" s="1">
        <f t="shared" si="29"/>
        <v>0.49652865925325063</v>
      </c>
      <c r="AD93" s="1">
        <f>ABS(AB93 - Sheet4!AB93)</f>
        <v>0.33559288237460427</v>
      </c>
      <c r="AF93" s="15">
        <f t="shared" si="30"/>
        <v>1</v>
      </c>
      <c r="AG93" s="15">
        <f t="shared" si="31"/>
        <v>1</v>
      </c>
    </row>
    <row r="94" spans="1:33" x14ac:dyDescent="0.3">
      <c r="A94" s="2">
        <v>202210</v>
      </c>
      <c r="B94" s="6">
        <v>44836</v>
      </c>
      <c r="C94" s="3">
        <v>54</v>
      </c>
      <c r="D94" s="3">
        <v>79</v>
      </c>
      <c r="E94" s="3">
        <v>50</v>
      </c>
      <c r="F94" s="3">
        <v>12</v>
      </c>
      <c r="G94" s="3">
        <v>43</v>
      </c>
      <c r="H94" s="3">
        <v>19</v>
      </c>
      <c r="I94" s="3">
        <v>79</v>
      </c>
      <c r="J94" s="3" t="s">
        <v>19</v>
      </c>
      <c r="K94" s="3" t="s">
        <v>20</v>
      </c>
      <c r="L94" s="3" t="s">
        <v>21</v>
      </c>
      <c r="N94" s="1">
        <f t="shared" si="17"/>
        <v>0.46551724137931033</v>
      </c>
      <c r="O94" s="1">
        <f t="shared" si="18"/>
        <v>0.34285714285714286</v>
      </c>
      <c r="P94" s="1">
        <f t="shared" si="19"/>
        <v>0.41666666666666669</v>
      </c>
      <c r="Q94" s="1">
        <f t="shared" si="20"/>
        <v>0.15789473684210525</v>
      </c>
      <c r="R94" s="1">
        <f t="shared" si="21"/>
        <v>0.15853658536585366</v>
      </c>
      <c r="S94" s="1">
        <f t="shared" si="22"/>
        <v>0.1875</v>
      </c>
      <c r="T94" s="1">
        <f t="shared" si="23"/>
        <v>1.7289723731110789</v>
      </c>
      <c r="V94" s="1">
        <f>Sheet4!AB94^2</f>
        <v>0.73979382462405541</v>
      </c>
      <c r="W94" s="1">
        <f>Sheet4!AC94^2</f>
        <v>1.9568461918278535E-2</v>
      </c>
      <c r="X94" s="1">
        <f t="shared" si="24"/>
        <v>39.948866529698989</v>
      </c>
      <c r="Y94" s="1">
        <f t="shared" si="25"/>
        <v>1.0566969435870408</v>
      </c>
      <c r="Z94" s="1">
        <f t="shared" si="26"/>
        <v>11135.088402747289</v>
      </c>
      <c r="AA94" s="1">
        <f t="shared" si="27"/>
        <v>11330.372302656076</v>
      </c>
      <c r="AB94" s="1">
        <f t="shared" si="28"/>
        <v>0.50434631415909092</v>
      </c>
      <c r="AC94" s="1">
        <f t="shared" si="29"/>
        <v>0.49565368584090908</v>
      </c>
      <c r="AD94" s="1">
        <f>ABS(AB94 - Sheet4!AB94)</f>
        <v>0.35576636719379751</v>
      </c>
      <c r="AF94" s="15">
        <f t="shared" si="30"/>
        <v>1</v>
      </c>
      <c r="AG94" s="15">
        <f t="shared" si="31"/>
        <v>1</v>
      </c>
    </row>
    <row r="95" spans="1:33" ht="27.6" x14ac:dyDescent="0.3">
      <c r="A95" s="2">
        <v>202210</v>
      </c>
      <c r="B95" s="6">
        <v>44835</v>
      </c>
      <c r="C95" s="3">
        <v>80</v>
      </c>
      <c r="D95" s="3">
        <v>128</v>
      </c>
      <c r="E95" s="3">
        <v>52</v>
      </c>
      <c r="F95" s="3">
        <v>14</v>
      </c>
      <c r="G95" s="3">
        <v>39</v>
      </c>
      <c r="H95" s="3">
        <v>21</v>
      </c>
      <c r="I95" s="3">
        <v>128</v>
      </c>
      <c r="J95" s="3" t="s">
        <v>19</v>
      </c>
      <c r="K95" s="3" t="s">
        <v>22</v>
      </c>
      <c r="L95" s="3" t="s">
        <v>21</v>
      </c>
      <c r="N95" s="1">
        <f t="shared" si="17"/>
        <v>0.91379310344827591</v>
      </c>
      <c r="O95" s="1">
        <f t="shared" si="18"/>
        <v>0.80952380952380953</v>
      </c>
      <c r="P95" s="1">
        <f t="shared" si="19"/>
        <v>0.58333333333333337</v>
      </c>
      <c r="Q95" s="1">
        <f t="shared" si="20"/>
        <v>0.26315789473684209</v>
      </c>
      <c r="R95" s="1">
        <f t="shared" si="21"/>
        <v>0.13414634146341464</v>
      </c>
      <c r="S95" s="1">
        <f t="shared" si="22"/>
        <v>0.25</v>
      </c>
      <c r="T95" s="1">
        <f t="shared" si="23"/>
        <v>2.9539544825056758</v>
      </c>
      <c r="V95" s="1">
        <f>Sheet4!AB95^2</f>
        <v>0.38969988744592982</v>
      </c>
      <c r="W95" s="1">
        <f>Sheet4!AC95^2</f>
        <v>0.1411809449449683</v>
      </c>
      <c r="X95" s="1">
        <f t="shared" si="24"/>
        <v>31.175990995674386</v>
      </c>
      <c r="Y95" s="1">
        <f t="shared" si="25"/>
        <v>11.294475595597465</v>
      </c>
      <c r="Z95" s="1">
        <f t="shared" si="26"/>
        <v>21632.848306421412</v>
      </c>
      <c r="AA95" s="1">
        <f t="shared" si="27"/>
        <v>21359.59620224818</v>
      </c>
      <c r="AB95" s="1">
        <f t="shared" si="28"/>
        <v>0.49682209156404061</v>
      </c>
      <c r="AC95" s="1">
        <f t="shared" si="29"/>
        <v>0.50317790843595933</v>
      </c>
      <c r="AD95" s="1">
        <f>ABS(AB95 - Sheet4!AB95)</f>
        <v>0.12743737968644014</v>
      </c>
      <c r="AF95" s="15">
        <f t="shared" si="30"/>
        <v>2</v>
      </c>
      <c r="AG95" s="15">
        <f t="shared" si="31"/>
        <v>1</v>
      </c>
    </row>
    <row r="96" spans="1:33" x14ac:dyDescent="0.3">
      <c r="A96" s="2">
        <v>202210</v>
      </c>
      <c r="B96" s="6">
        <v>44861</v>
      </c>
      <c r="C96" s="3">
        <v>41</v>
      </c>
      <c r="D96" s="3">
        <v>66</v>
      </c>
      <c r="E96" s="3">
        <v>51</v>
      </c>
      <c r="F96" s="3">
        <v>18</v>
      </c>
      <c r="G96" s="3">
        <v>35</v>
      </c>
      <c r="H96" s="3">
        <v>27</v>
      </c>
      <c r="I96" s="3">
        <v>66</v>
      </c>
      <c r="J96" s="3" t="s">
        <v>19</v>
      </c>
      <c r="K96" s="3" t="s">
        <v>20</v>
      </c>
      <c r="L96" s="3" t="s">
        <v>21</v>
      </c>
      <c r="N96" s="1">
        <f t="shared" si="17"/>
        <v>0.2413793103448276</v>
      </c>
      <c r="O96" s="1">
        <f t="shared" si="18"/>
        <v>0.21904761904761905</v>
      </c>
      <c r="P96" s="1">
        <f t="shared" si="19"/>
        <v>0.5</v>
      </c>
      <c r="Q96" s="1">
        <f t="shared" si="20"/>
        <v>0.47368421052631576</v>
      </c>
      <c r="R96" s="1">
        <f t="shared" si="21"/>
        <v>0.10975609756097561</v>
      </c>
      <c r="S96" s="1">
        <f t="shared" si="22"/>
        <v>0.4375</v>
      </c>
      <c r="T96" s="1">
        <f t="shared" si="23"/>
        <v>1.9813672374797382</v>
      </c>
      <c r="V96" s="1">
        <f>Sheet4!AB96^2</f>
        <v>0.5906663500643442</v>
      </c>
      <c r="W96" s="1">
        <f>Sheet4!AC96^2</f>
        <v>5.3569931404351089E-2</v>
      </c>
      <c r="X96" s="1">
        <f t="shared" si="24"/>
        <v>24.217320352638112</v>
      </c>
      <c r="Y96" s="1">
        <f t="shared" si="25"/>
        <v>2.1963671875783946</v>
      </c>
      <c r="Z96" s="1">
        <f t="shared" si="26"/>
        <v>9608.7084509102278</v>
      </c>
      <c r="AA96" s="1">
        <f t="shared" si="27"/>
        <v>10038.260352860023</v>
      </c>
      <c r="AB96" s="1">
        <f t="shared" si="28"/>
        <v>0.51093176016718067</v>
      </c>
      <c r="AC96" s="1">
        <f t="shared" si="29"/>
        <v>0.48906823983281933</v>
      </c>
      <c r="AD96" s="1">
        <f>ABS(AB96 - Sheet4!AB96)</f>
        <v>0.2576164491628159</v>
      </c>
      <c r="AF96" s="15">
        <f t="shared" si="30"/>
        <v>1</v>
      </c>
      <c r="AG96" s="15">
        <f t="shared" si="31"/>
        <v>1</v>
      </c>
    </row>
    <row r="97" spans="1:33" x14ac:dyDescent="0.3">
      <c r="A97" s="2">
        <v>202210</v>
      </c>
      <c r="B97" s="6">
        <v>44862</v>
      </c>
      <c r="C97" s="3">
        <v>54</v>
      </c>
      <c r="D97" s="3">
        <v>77</v>
      </c>
      <c r="E97" s="3">
        <v>51</v>
      </c>
      <c r="F97" s="3">
        <v>16</v>
      </c>
      <c r="G97" s="3">
        <v>33</v>
      </c>
      <c r="H97" s="3">
        <v>32</v>
      </c>
      <c r="I97" s="3">
        <v>77</v>
      </c>
      <c r="J97" s="3" t="s">
        <v>19</v>
      </c>
      <c r="K97" s="3" t="s">
        <v>20</v>
      </c>
      <c r="L97" s="3" t="s">
        <v>21</v>
      </c>
      <c r="N97" s="1">
        <f t="shared" si="17"/>
        <v>0.46551724137931033</v>
      </c>
      <c r="O97" s="1">
        <f t="shared" si="18"/>
        <v>0.32380952380952382</v>
      </c>
      <c r="P97" s="1">
        <f t="shared" si="19"/>
        <v>0.5</v>
      </c>
      <c r="Q97" s="1">
        <f t="shared" si="20"/>
        <v>0.36842105263157893</v>
      </c>
      <c r="R97" s="1">
        <f t="shared" si="21"/>
        <v>9.7560975609756101E-2</v>
      </c>
      <c r="S97" s="1">
        <f t="shared" si="22"/>
        <v>0.59375</v>
      </c>
      <c r="T97" s="1">
        <f t="shared" si="23"/>
        <v>2.349058793430169</v>
      </c>
      <c r="V97" s="1">
        <f>Sheet4!AB97^2</f>
        <v>0.68600975803817643</v>
      </c>
      <c r="W97" s="1">
        <f>Sheet4!AC97^2</f>
        <v>2.9495637315776507E-2</v>
      </c>
      <c r="X97" s="1">
        <f t="shared" si="24"/>
        <v>37.04452693406153</v>
      </c>
      <c r="Y97" s="1">
        <f t="shared" si="25"/>
        <v>1.5927644150519313</v>
      </c>
      <c r="Z97" s="1">
        <f t="shared" si="26"/>
        <v>10939.088402747289</v>
      </c>
      <c r="AA97" s="1">
        <f t="shared" si="27"/>
        <v>11134.372302656076</v>
      </c>
      <c r="AB97" s="1">
        <f t="shared" si="28"/>
        <v>0.50442349984252777</v>
      </c>
      <c r="AC97" s="1">
        <f t="shared" si="29"/>
        <v>0.49557650015747223</v>
      </c>
      <c r="AD97" s="1">
        <f>ABS(AB97 - Sheet4!AB97)</f>
        <v>0.32383356051867218</v>
      </c>
      <c r="AF97" s="15">
        <f t="shared" si="30"/>
        <v>1</v>
      </c>
      <c r="AG97" s="15">
        <f t="shared" si="31"/>
        <v>1</v>
      </c>
    </row>
    <row r="98" spans="1:33" x14ac:dyDescent="0.3">
      <c r="A98" s="2">
        <v>202210</v>
      </c>
      <c r="B98" s="6">
        <v>44863</v>
      </c>
      <c r="C98" s="3">
        <v>53</v>
      </c>
      <c r="D98" s="3">
        <v>86</v>
      </c>
      <c r="E98" s="3">
        <v>51</v>
      </c>
      <c r="F98" s="3">
        <v>15</v>
      </c>
      <c r="G98" s="3">
        <v>41</v>
      </c>
      <c r="H98" s="3">
        <v>29</v>
      </c>
      <c r="I98" s="3">
        <v>86</v>
      </c>
      <c r="J98" s="3" t="s">
        <v>19</v>
      </c>
      <c r="K98" s="3" t="s">
        <v>20</v>
      </c>
      <c r="L98" s="3" t="s">
        <v>21</v>
      </c>
      <c r="N98" s="1">
        <f t="shared" si="17"/>
        <v>0.44827586206896552</v>
      </c>
      <c r="O98" s="1">
        <f t="shared" si="18"/>
        <v>0.40952380952380951</v>
      </c>
      <c r="P98" s="1">
        <f t="shared" si="19"/>
        <v>0.5</v>
      </c>
      <c r="Q98" s="1">
        <f t="shared" si="20"/>
        <v>0.31578947368421051</v>
      </c>
      <c r="R98" s="1">
        <f t="shared" si="21"/>
        <v>0.14634146341463414</v>
      </c>
      <c r="S98" s="1">
        <f t="shared" si="22"/>
        <v>0.5</v>
      </c>
      <c r="T98" s="1">
        <f t="shared" si="23"/>
        <v>2.31993060869162</v>
      </c>
      <c r="V98" s="1">
        <f>Sheet4!AB98^2</f>
        <v>0.78689295039946838</v>
      </c>
      <c r="W98" s="1">
        <f>Sheet4!AC98^2</f>
        <v>1.2753214753520575E-2</v>
      </c>
      <c r="X98" s="1">
        <f t="shared" si="24"/>
        <v>41.705326371171822</v>
      </c>
      <c r="Y98" s="1">
        <f t="shared" si="25"/>
        <v>0.67592038193659043</v>
      </c>
      <c r="Z98" s="1">
        <f t="shared" si="26"/>
        <v>12797.751483375208</v>
      </c>
      <c r="AA98" s="1">
        <f t="shared" si="27"/>
        <v>13011.05599882561</v>
      </c>
      <c r="AB98" s="1">
        <f t="shared" si="28"/>
        <v>0.50413239774052931</v>
      </c>
      <c r="AC98" s="1">
        <f t="shared" si="29"/>
        <v>0.49586760225947069</v>
      </c>
      <c r="AD98" s="1">
        <f>ABS(AB98 - Sheet4!AB98)</f>
        <v>0.38293747008244461</v>
      </c>
      <c r="AF98" s="15">
        <f t="shared" si="30"/>
        <v>1</v>
      </c>
      <c r="AG98" s="15">
        <f t="shared" si="31"/>
        <v>1</v>
      </c>
    </row>
    <row r="99" spans="1:33" x14ac:dyDescent="0.3">
      <c r="V99" s="1"/>
      <c r="W99" s="1"/>
      <c r="X99" s="1"/>
      <c r="Y99" s="1"/>
      <c r="Z99" s="1"/>
      <c r="AA99" s="1"/>
      <c r="AB99" s="1"/>
      <c r="AC99" s="1"/>
      <c r="AD99" s="1">
        <f>(SUMSQ(AB2:AB99) + SUMSQ(AC2:AC99)) / 98</f>
        <v>0.4949409700359842</v>
      </c>
      <c r="AF99" s="15">
        <f t="shared" si="30"/>
        <v>2</v>
      </c>
      <c r="AG99" s="15">
        <f t="shared" si="31"/>
        <v>0</v>
      </c>
    </row>
    <row r="100" spans="1:33" x14ac:dyDescent="0.3">
      <c r="V100" s="1"/>
      <c r="W100" s="1"/>
      <c r="X100" s="1"/>
      <c r="Y100" s="1"/>
      <c r="Z100" s="1"/>
      <c r="AA100" s="1"/>
      <c r="AB100" s="1"/>
      <c r="AC100" s="1"/>
      <c r="AD100" s="1"/>
      <c r="AF100" s="15"/>
      <c r="AG100" s="15"/>
    </row>
    <row r="101" spans="1:33" x14ac:dyDescent="0.3">
      <c r="V101" s="1"/>
      <c r="W101" s="1"/>
      <c r="X101" s="1"/>
      <c r="Y101" s="1"/>
      <c r="Z101" s="1"/>
      <c r="AA101" s="1"/>
      <c r="AB101" s="1"/>
      <c r="AC101" s="1"/>
      <c r="AD101" s="1">
        <f>MAX(AD2:AD99)</f>
        <v>0.4949409700359842</v>
      </c>
      <c r="AE101">
        <f>(SUMSQ(AB2:AB99) + SUMSQ(AC2:AC99)) / 98</f>
        <v>0.4949409700359842</v>
      </c>
      <c r="AF101" s="15"/>
      <c r="AG101" s="15">
        <f>SUM(AG2:AG99) / 98</f>
        <v>0.83673469387755106</v>
      </c>
    </row>
    <row r="102" spans="1:33" x14ac:dyDescent="0.3">
      <c r="C102">
        <f>SUM(X2:X99) / SUM(V2:V99)</f>
        <v>60.331540313959167</v>
      </c>
      <c r="AF102" s="14"/>
      <c r="AG102" s="14"/>
    </row>
    <row r="103" spans="1:33" x14ac:dyDescent="0.3">
      <c r="C103">
        <f>SUM(Y2:Y99) / SUM(W2:W99)</f>
        <v>69.341848084767207</v>
      </c>
    </row>
  </sheetData>
  <conditionalFormatting sqref="AD2:AD9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:AF99">
    <cfRule type="cellIs" dxfId="1" priority="2" operator="equal">
      <formula>2</formula>
    </cfRule>
    <cfRule type="cellIs" dxfId="0" priority="3" operator="equal">
      <formula>1</formula>
    </cfRule>
  </conditionalFormatting>
  <conditionalFormatting sqref="AG2:AG9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{503AF473-28A0-4A3A-8471-17F34182DA65}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3AF473-28A0-4A3A-8471-17F34182DA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AG2:AG99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ALDI 25</cp:lastModifiedBy>
  <dcterms:created xsi:type="dcterms:W3CDTF">2026-01-20T09:49:13Z</dcterms:created>
  <dcterms:modified xsi:type="dcterms:W3CDTF">2026-02-02T07:15:03Z</dcterms:modified>
</cp:coreProperties>
</file>